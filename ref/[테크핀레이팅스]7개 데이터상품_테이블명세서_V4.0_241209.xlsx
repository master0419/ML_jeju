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jjbankm365-my.sharepoint.com/personal/hwangjiyoung_jejubank_co_kr/Documents/바탕 화면/자금예측/테크핀데이터/"/>
    </mc:Choice>
  </mc:AlternateContent>
  <xr:revisionPtr revIDLastSave="0" documentId="8_{B4DD2973-9857-40E8-813F-7C1D453EA2E3}" xr6:coauthVersionLast="47" xr6:coauthVersionMax="47" xr10:uidLastSave="{00000000-0000-0000-0000-000000000000}"/>
  <bookViews>
    <workbookView xWindow="-96" yWindow="-96" windowWidth="23232" windowHeight="12432" firstSheet="1" activeTab="1" xr2:uid="{00000000-000D-0000-FFFF-FFFF00000000}"/>
  </bookViews>
  <sheets>
    <sheet name="0.제공테이블" sheetId="13" r:id="rId1"/>
    <sheet name="1.월별_매출정보" sheetId="22" r:id="rId2"/>
    <sheet name="2.월별_매입정보" sheetId="23" r:id="rId3"/>
    <sheet name="3.거래처별매출채권정보" sheetId="24" r:id="rId4"/>
    <sheet name="4.거래처별매입채무정보" sheetId="25" r:id="rId5"/>
    <sheet name="5.거래처별매출채권회수기간" sheetId="5" r:id="rId6"/>
    <sheet name="6.거래처별매입채무지급기간" sheetId="6" r:id="rId7"/>
    <sheet name="7.분기별_매출매입정보" sheetId="15" r:id="rId8"/>
    <sheet name="매출상세" sheetId="9" r:id="rId9"/>
    <sheet name="참고" sheetId="12" r:id="rId10"/>
    <sheet name="매입상세" sheetId="8" r:id="rId11"/>
    <sheet name="기간산정기준" sheetId="30" r:id="rId12"/>
    <sheet name="회수(지급)기간산출로직" sheetId="31" r:id="rId13"/>
    <sheet name="사업자번호구분기준" sheetId="17" r:id="rId14"/>
    <sheet name="회수율 회수기간 산정 기준" sheetId="28" r:id="rId15"/>
  </sheets>
  <externalReferences>
    <externalReference r:id="rId16"/>
  </externalReferences>
  <definedNames>
    <definedName name="_xlnm.Print_Area" localSheetId="0">'0.제공테이블'!$A$1:$I$111</definedName>
    <definedName name="_xlnm.Print_Area" localSheetId="1">'1.월별_매출정보'!$A$1:$G$19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31" l="1"/>
  <c r="L56" i="31" s="1"/>
  <c r="K54" i="31"/>
  <c r="L54" i="31" s="1"/>
  <c r="J54" i="31"/>
  <c r="J56" i="31" s="1"/>
  <c r="L53" i="31"/>
  <c r="K53" i="31"/>
  <c r="K51" i="31"/>
  <c r="L51" i="31" s="1"/>
  <c r="J51" i="31"/>
  <c r="J53" i="31" s="1"/>
  <c r="L50" i="31"/>
  <c r="K50" i="31"/>
  <c r="K49" i="31"/>
  <c r="L49" i="31" s="1"/>
  <c r="J49" i="31"/>
  <c r="J50" i="31" s="1"/>
  <c r="L46" i="31"/>
  <c r="K46" i="31"/>
  <c r="J46" i="31"/>
  <c r="K45" i="31"/>
  <c r="L45" i="31" s="1"/>
  <c r="L42" i="31"/>
  <c r="K42" i="31"/>
  <c r="K41" i="31"/>
  <c r="L41" i="31" s="1"/>
  <c r="L39" i="31"/>
  <c r="K39" i="31"/>
  <c r="K38" i="31"/>
  <c r="L38" i="31" s="1"/>
  <c r="J38" i="31"/>
  <c r="J39" i="31" s="1"/>
  <c r="J41" i="31" s="1"/>
  <c r="J42" i="31" s="1"/>
  <c r="J45" i="31" s="1"/>
  <c r="L37" i="31"/>
  <c r="K37" i="31"/>
  <c r="J37" i="31"/>
  <c r="J25" i="31"/>
  <c r="J27" i="31" s="1"/>
  <c r="C18" i="31"/>
  <c r="C17" i="31"/>
  <c r="C16" i="31"/>
  <c r="D16" i="31" l="1"/>
  <c r="B16" i="31" s="1"/>
  <c r="D18" i="31"/>
  <c r="B18" i="31" s="1"/>
  <c r="D17" i="31"/>
  <c r="B17" i="31" s="1"/>
  <c r="D91" i="13"/>
  <c r="D76" i="13"/>
  <c r="D62" i="13"/>
  <c r="D53" i="13"/>
  <c r="D10" i="13"/>
  <c r="J1" i="15"/>
  <c r="J1" i="6"/>
  <c r="J1" i="5"/>
  <c r="D44" i="13" l="1"/>
  <c r="D27" i="13"/>
  <c r="J1" i="25" l="1"/>
  <c r="J1" i="24"/>
  <c r="J1" i="23"/>
  <c r="J1" i="22"/>
</calcChain>
</file>

<file path=xl/sharedStrings.xml><?xml version="1.0" encoding="utf-8"?>
<sst xmlns="http://schemas.openxmlformats.org/spreadsheetml/2006/main" count="980" uniqueCount="461">
  <si>
    <t>금융기관 - 데이터 제공 레이아웃</t>
  </si>
  <si>
    <t>문서버전</t>
    <phoneticPr fontId="7" type="noConversion"/>
  </si>
  <si>
    <t>:</t>
    <phoneticPr fontId="7" type="noConversion"/>
  </si>
  <si>
    <t>4.0</t>
    <phoneticPr fontId="7" type="noConversion"/>
  </si>
  <si>
    <t>작성일자</t>
    <phoneticPr fontId="7" type="noConversion"/>
  </si>
  <si>
    <t xml:space="preserve">2024년 8월 </t>
    <phoneticPr fontId="7" type="noConversion"/>
  </si>
  <si>
    <t>수정일자</t>
    <phoneticPr fontId="7" type="noConversion"/>
  </si>
  <si>
    <t>2024년 12월 9일</t>
    <phoneticPr fontId="7" type="noConversion"/>
  </si>
  <si>
    <t>NO</t>
    <phoneticPr fontId="7" type="noConversion"/>
  </si>
  <si>
    <t>Category</t>
    <phoneticPr fontId="7" type="noConversion"/>
  </si>
  <si>
    <t>Description</t>
    <phoneticPr fontId="7" type="noConversion"/>
  </si>
  <si>
    <t xml:space="preserve">Reference </t>
    <phoneticPr fontId="7" type="noConversion"/>
  </si>
  <si>
    <t>적격증빙 기준 
월단위 부가세 매출정보 제공</t>
    <phoneticPr fontId="7" type="noConversion"/>
  </si>
  <si>
    <t>기준년월</t>
  </si>
  <si>
    <t>사업자등록번호</t>
  </si>
  <si>
    <t>법인등록번호</t>
  </si>
  <si>
    <t>공급시기</t>
  </si>
  <si>
    <t>매출처사업자번호</t>
  </si>
  <si>
    <t>매출처명</t>
    <phoneticPr fontId="2" type="noConversion"/>
  </si>
  <si>
    <t>공급가액</t>
  </si>
  <si>
    <t>부가세</t>
  </si>
  <si>
    <t>매출유형</t>
  </si>
  <si>
    <t>공급건수</t>
  </si>
  <si>
    <t>취소건수</t>
  </si>
  <si>
    <t>취소금액</t>
  </si>
  <si>
    <t>총공급가액</t>
  </si>
  <si>
    <t>총취소금액</t>
  </si>
  <si>
    <t>거래비중</t>
  </si>
  <si>
    <t>적격증빙 기준 
월단위 부가세 매입정보 제공</t>
    <phoneticPr fontId="7" type="noConversion"/>
  </si>
  <si>
    <t>공급받는시기</t>
  </si>
  <si>
    <t>매입처사업자번호</t>
  </si>
  <si>
    <t>매입처명</t>
    <phoneticPr fontId="2" type="noConversion"/>
  </si>
  <si>
    <t>매입유형</t>
  </si>
  <si>
    <t>월단위 매출처에 대한
발생액-회수액 
정보 제공</t>
    <phoneticPr fontId="7" type="noConversion"/>
  </si>
  <si>
    <t>발생(회수)월</t>
  </si>
  <si>
    <t>매출채권발생액</t>
  </si>
  <si>
    <t>매출채권회수액</t>
  </si>
  <si>
    <t>월단위 매입처에 대한
발생액-지급액 
정보 제공</t>
    <phoneticPr fontId="7" type="noConversion"/>
  </si>
  <si>
    <t>발생(지급)월</t>
  </si>
  <si>
    <t>매입채무발생액</t>
  </si>
  <si>
    <t>매입채무지급액</t>
  </si>
  <si>
    <t>월단위 매출처별
채권 회수기간 제공</t>
    <phoneticPr fontId="2" type="noConversion"/>
  </si>
  <si>
    <t>회수시작월</t>
  </si>
  <si>
    <t>회수종료월</t>
    <phoneticPr fontId="2" type="noConversion"/>
  </si>
  <si>
    <t>매출처명</t>
  </si>
  <si>
    <t>회수기간</t>
  </si>
  <si>
    <t>회수율</t>
  </si>
  <si>
    <t>기간구분</t>
  </si>
  <si>
    <t>매출채권회수금액</t>
    <phoneticPr fontId="2" type="noConversion"/>
  </si>
  <si>
    <t>매출채권가중평균회수금액</t>
    <phoneticPr fontId="2" type="noConversion"/>
  </si>
  <si>
    <t>월단위 매입처별
채무 지급기간 제공</t>
    <phoneticPr fontId="7" type="noConversion"/>
  </si>
  <si>
    <t>지급시작월</t>
    <phoneticPr fontId="2" type="noConversion"/>
  </si>
  <si>
    <t>지급종료월</t>
    <phoneticPr fontId="2" type="noConversion"/>
  </si>
  <si>
    <t>매입처명</t>
  </si>
  <si>
    <t>지급기간</t>
  </si>
  <si>
    <t>지급율</t>
  </si>
  <si>
    <t>매입채무지급금액</t>
    <phoneticPr fontId="2" type="noConversion"/>
  </si>
  <si>
    <t>매입채무가중평균지급금액</t>
    <phoneticPr fontId="2" type="noConversion"/>
  </si>
  <si>
    <t>분기(반기)단위
 부가세 매출매입정보 
제공</t>
    <phoneticPr fontId="7" type="noConversion"/>
  </si>
  <si>
    <t>본지점구분</t>
  </si>
  <si>
    <t>거래처사업자번호</t>
  </si>
  <si>
    <t>거래처업체명</t>
  </si>
  <si>
    <t>매입매출구분</t>
  </si>
  <si>
    <t>매입매출유형</t>
    <phoneticPr fontId="2" type="noConversion"/>
  </si>
  <si>
    <t>기준년도</t>
  </si>
  <si>
    <t>분기매입/매출액</t>
  </si>
  <si>
    <t>분기총매입/매출액</t>
  </si>
  <si>
    <t>과세기간시작일자</t>
  </si>
  <si>
    <t>과세기간종료일자</t>
  </si>
  <si>
    <t>분기공급건수</t>
  </si>
  <si>
    <t>분기취소건수</t>
  </si>
  <si>
    <t>분기취소금액</t>
  </si>
  <si>
    <t>분기총취소금액</t>
  </si>
  <si>
    <t>영문테이블명</t>
    <phoneticPr fontId="2" type="noConversion"/>
  </si>
  <si>
    <t>FTA_MTH_SALES</t>
    <phoneticPr fontId="2" type="noConversion"/>
  </si>
  <si>
    <t>목차</t>
    <phoneticPr fontId="2" type="noConversion"/>
  </si>
  <si>
    <t>한글테이블명</t>
    <phoneticPr fontId="2" type="noConversion"/>
  </si>
  <si>
    <t>월별_매출정보</t>
  </si>
  <si>
    <t>영문컬럼명</t>
  </si>
  <si>
    <t>한글컬럼명</t>
  </si>
  <si>
    <t>데이터타입</t>
    <phoneticPr fontId="2" type="noConversion"/>
  </si>
  <si>
    <t>BIZ컬럼설명</t>
  </si>
  <si>
    <t>비고</t>
    <phoneticPr fontId="2" type="noConversion"/>
  </si>
  <si>
    <t>기간</t>
    <phoneticPr fontId="2" type="noConversion"/>
  </si>
  <si>
    <t>PK</t>
    <phoneticPr fontId="2" type="noConversion"/>
  </si>
  <si>
    <t xml:space="preserve">	DW_BAS_NYYMM</t>
    <phoneticPr fontId="2" type="noConversion"/>
  </si>
  <si>
    <t>CHAR(6)</t>
  </si>
  <si>
    <t>YYYYMM, 연도 4자리+월 2자리</t>
    <phoneticPr fontId="2" type="noConversion"/>
  </si>
  <si>
    <t>기준년월에 대해 전전월 데이터를 제공함</t>
    <phoneticPr fontId="2" type="noConversion"/>
  </si>
  <si>
    <t>최초 제공 후 13개월 변동을 체크하여 매월 업데이트 함</t>
    <phoneticPr fontId="2" type="noConversion"/>
  </si>
  <si>
    <t>○</t>
    <phoneticPr fontId="2" type="noConversion"/>
  </si>
  <si>
    <t>NO_BIZ</t>
    <phoneticPr fontId="2" type="noConversion"/>
  </si>
  <si>
    <t>CHAR(10)</t>
  </si>
  <si>
    <t>대상사업자 사업자번호 10자리</t>
    <phoneticPr fontId="2" type="noConversion"/>
  </si>
  <si>
    <t xml:space="preserve">   CASE 
        WHEN SUBSTR(no_biz, 4, 2) BETWEEN '81' AND '88' THEN '법인'
        ELSE '개인'
    END AS no_biz</t>
    <phoneticPr fontId="2" type="noConversion"/>
  </si>
  <si>
    <t>NO_CORPOR</t>
    <phoneticPr fontId="2" type="noConversion"/>
  </si>
  <si>
    <t>varchar(13)</t>
  </si>
  <si>
    <t>법인만 수록, 개인사업자는 숫자9 13개, 나머지 공란</t>
    <phoneticPr fontId="2" type="noConversion"/>
  </si>
  <si>
    <t>CASE WHEN 
  NO_BIZ IN ('법인사업자') THEN NO_CORPOR IN ('법인번호')
  NO_BIZ IN ('개인사업자') THEN NO_CORPOR IN    ('9999999999999') --숫자 9 13개 입력
ELSE  NULL
END AS NO_CORPOR</t>
    <phoneticPr fontId="2" type="noConversion"/>
  </si>
  <si>
    <t>DM_DATA</t>
    <phoneticPr fontId="2" type="noConversion"/>
  </si>
  <si>
    <t>공급시기</t>
    <phoneticPr fontId="2" type="noConversion"/>
  </si>
  <si>
    <t>char(6)</t>
  </si>
  <si>
    <t>YYYYMM, 
연도 4자리+월 2자리, 기준년월(DW_BAS_NYYMM)로부터 최근 3개년 정보 제공</t>
    <phoneticPr fontId="2" type="noConversion"/>
  </si>
  <si>
    <t>월</t>
  </si>
  <si>
    <t>NO_BISOCIAL</t>
  </si>
  <si>
    <t>매출처사업자번호</t>
    <phoneticPr fontId="2" type="noConversion"/>
  </si>
  <si>
    <t>varchar(200)</t>
  </si>
  <si>
    <t>대상 사업자(NO_BIZ)가 판매를 진행한 매출처의 사업자등록번호</t>
    <phoneticPr fontId="2" type="noConversion"/>
  </si>
  <si>
    <t xml:space="preserve">(ASIS)
사업자번호 미입력 시 주민번호 앞자리 제공
사업자,주민번호 미입력 시 거래처번호(5자리)제공
&gt;거래처번호: 거래처코드 5자리
&gt;no_biz별 00101~97999까지 입력가능함
(TOBE)
사업자번호 NULL인 경우
1) 주민번호 입력분 : (00000000000)숫자 0 10개 
2) 그 외 : (9999999999) 숫자 9 10개 </t>
    <phoneticPr fontId="2" type="noConversion"/>
  </si>
  <si>
    <t>NM_TRADE</t>
    <phoneticPr fontId="2" type="noConversion"/>
  </si>
  <si>
    <t>varchar(300)</t>
  </si>
  <si>
    <t>NO_BISOCIAL에 대해 사용자가 입력한 매출처명</t>
  </si>
  <si>
    <t xml:space="preserve">(ASIS)
거래처등록-거래처명 표기
(TOBE)
사업자번호 NULL인 경우
1) 주민번호 입력분 : (00000000000)숫자 0 10개 : 개인으로 표기 
2) 그 외 : (9999999999) 숫자 9 10개 : 기타로 표기 </t>
    <phoneticPr fontId="2" type="noConversion"/>
  </si>
  <si>
    <t>MN_MNAM</t>
    <phoneticPr fontId="2" type="noConversion"/>
  </si>
  <si>
    <t>공급가액</t>
    <phoneticPr fontId="2" type="noConversion"/>
  </si>
  <si>
    <t>numeric(20,2)</t>
  </si>
  <si>
    <t>대상 사업자(NO_BIZ)가 공급시기(DM_DATA)에 특정 매출처(NO_BISOCIAL)를 대상으로 매출상세(TY_MTH2)별로 제공한 공급가액의 총액</t>
    <phoneticPr fontId="2" type="noConversion"/>
  </si>
  <si>
    <t>총 매출 거래에 대한 거래처별 공급가액의 합계
※DM_DATA 기준 발생건을 모두 취소한 경우 금액=0</t>
    <phoneticPr fontId="2" type="noConversion"/>
  </si>
  <si>
    <t>MN_VAT</t>
    <phoneticPr fontId="2" type="noConversion"/>
  </si>
  <si>
    <t>부가세</t>
    <phoneticPr fontId="2" type="noConversion"/>
  </si>
  <si>
    <t>대상 사업자(NO_BIZ)가 공급시기(DM_DATA)에 특정 매출처(NO_BISOCIAL)를 대상으로 매출상세(TY_MTH2)별로 제공한 부가세의 총액</t>
    <phoneticPr fontId="2" type="noConversion"/>
  </si>
  <si>
    <t>TY_MTH2</t>
    <phoneticPr fontId="2" type="noConversion"/>
  </si>
  <si>
    <t>매출유형</t>
    <phoneticPr fontId="2" type="noConversion"/>
  </si>
  <si>
    <t>CHAR(2)</t>
    <phoneticPr fontId="2" type="noConversion"/>
  </si>
  <si>
    <t>하단 유형번호 11~25번 수록</t>
    <phoneticPr fontId="2" type="noConversion"/>
  </si>
  <si>
    <t>유형 외 다른 값 수록 시, 99로 변경</t>
    <phoneticPr fontId="2" type="noConversion"/>
  </si>
  <si>
    <t>CT_MNAM</t>
  </si>
  <si>
    <t>공급건수</t>
    <phoneticPr fontId="2" type="noConversion"/>
  </si>
  <si>
    <t>INTEGER</t>
  </si>
  <si>
    <t>대상 사업자(NO_BIZ)가 공급시기(DM_DATA)에 특정 매출처(NO_BISOCIAL)를 대상으로 매출상세(TY_MTH2)별로 제공한 총공급건수</t>
    <phoneticPr fontId="2" type="noConversion"/>
  </si>
  <si>
    <t>MN_MNAM&lt;&gt;0인 총 거래건수 
※DM_DATA 기준 발생 및 취소 건을 모두 집계함</t>
    <phoneticPr fontId="2" type="noConversion"/>
  </si>
  <si>
    <t>CT_MNAM_M</t>
  </si>
  <si>
    <t>대상 사업자(NO_BIZ)가 공급시기(DM_DATA)에 특정 매출처(NO_BISOCIAL)를 대상으로 매출상세(TY_MTH2)별로 취소한 건수</t>
    <phoneticPr fontId="2" type="noConversion"/>
  </si>
  <si>
    <t>MN_MNAM&lt;0인 거래건수
※DM_DATA 취소 건을 모두 집계함
※취소 : 수정T/I발생 사유(반품,계약해지,착오발급 등)</t>
    <phoneticPr fontId="2" type="noConversion"/>
  </si>
  <si>
    <t>MN_MNAM_M</t>
  </si>
  <si>
    <t>대상 사업자(NO_BIZ)가 공급시기(DM_DATA)에 특정 매출처(NO_BISOCIAL)를 대상으로 매출상세(TY_MTH2)별로 취소한 금액</t>
    <phoneticPr fontId="2" type="noConversion"/>
  </si>
  <si>
    <t>MN_MNAM&lt;0인 거래건에 대한 금액 합계</t>
  </si>
  <si>
    <t>TOT_MN_MNAM</t>
    <phoneticPr fontId="2" type="noConversion"/>
  </si>
  <si>
    <t>총공급가액</t>
    <phoneticPr fontId="2" type="noConversion"/>
  </si>
  <si>
    <t>대상 사업자(NO_BIZ)가 공급시기(DM_DATA)에 전체 매출처(NO_BISOCIAL)를 대상으로 공급한 총액</t>
    <phoneticPr fontId="2" type="noConversion"/>
  </si>
  <si>
    <t xml:space="preserve">총 매출 거래에 대한 공급가액의 합계
</t>
    <phoneticPr fontId="2" type="noConversion"/>
  </si>
  <si>
    <t>TOT_MN_MNAM_M</t>
    <phoneticPr fontId="2" type="noConversion"/>
  </si>
  <si>
    <t>총취소금액</t>
    <phoneticPr fontId="2" type="noConversion"/>
  </si>
  <si>
    <t>대상 사업자(NO_BIZ)가 공급시기(DM_DATA)에 전체 매출처(NO_BISOCIAL)를 대상으로 취소한 금액</t>
    <phoneticPr fontId="2" type="noConversion"/>
  </si>
  <si>
    <t>MN_MNAM&lt;0인 거래건에 대한 총 금액 합계</t>
    <phoneticPr fontId="2" type="noConversion"/>
  </si>
  <si>
    <t>TRAN_RATE</t>
    <phoneticPr fontId="2" type="noConversion"/>
  </si>
  <si>
    <t>거래비중</t>
    <phoneticPr fontId="2" type="noConversion"/>
  </si>
  <si>
    <t>분자: 거래처별 매출액(MN_MNAM)
분모: 총 매출액(TOT_MN_MNAM)</t>
    <phoneticPr fontId="2" type="noConversion"/>
  </si>
  <si>
    <t xml:space="preserve">CASE 
  WHEN 분자&lt;0  THEN TRAN_RATE=-99999
  WHEN 분모&lt;=0 THEN TRAN_RATE=99999 (테크핀 기준 적용)
ELSE 분자/분모 
</t>
    <phoneticPr fontId="2" type="noConversion"/>
  </si>
  <si>
    <t>월</t>
    <phoneticPr fontId="2" type="noConversion"/>
  </si>
  <si>
    <t>FTA_MTH_BUY</t>
    <phoneticPr fontId="2" type="noConversion"/>
  </si>
  <si>
    <t>한글테이블명</t>
  </si>
  <si>
    <t>월별_매입정보</t>
    <phoneticPr fontId="2" type="noConversion"/>
  </si>
  <si>
    <t>YYYYMM, 연도 4자리+월 2자리</t>
  </si>
  <si>
    <t>대상사업자 사업자번호 10자리</t>
  </si>
  <si>
    <t xml:space="preserve">
    CASE 
        WHEN SUBSTR(no_biz, 4, 2) BETWEEN '81' AND '88' THEN '법인사업자'
        ELSE '개인사업자'
    END AS no_biz
</t>
    <phoneticPr fontId="2" type="noConversion"/>
  </si>
  <si>
    <t>공급받는시기</t>
    <phoneticPr fontId="2" type="noConversion"/>
  </si>
  <si>
    <t>YYYYMM, 연도 4자리+월 2자리, 
기준년월(DW_BAS_NYYMM)로부터 최근 3개년 정보 제공</t>
    <phoneticPr fontId="2" type="noConversion"/>
  </si>
  <si>
    <t>매입처사업자번호</t>
    <phoneticPr fontId="2" type="noConversion"/>
  </si>
  <si>
    <t>대상 사업자(NO_BIZ)가 구매를 진행한 매입처의 사업자등록번호</t>
    <phoneticPr fontId="2" type="noConversion"/>
  </si>
  <si>
    <t>NM_TRADE</t>
  </si>
  <si>
    <t>NO_BISOCIAL에 대해 사용자가 입력한 매입처명</t>
    <phoneticPr fontId="2" type="noConversion"/>
  </si>
  <si>
    <t>numeric(20,2)</t>
    <phoneticPr fontId="2" type="noConversion"/>
  </si>
  <si>
    <t>대상 사업자(NO_BIZ)가 공급받는시기(DM_DATA)에 특정 매입처(NO_BISOCIAL)를 대상으로 매입상세(TY_MTH2)별로 제공받은 공급가액의 총액</t>
    <phoneticPr fontId="2" type="noConversion"/>
  </si>
  <si>
    <t>총 매입 거래에 대한 공급가액의 합계
※DM_DATA 기준 발생건을 모두 취소한 경우 금액=0</t>
    <phoneticPr fontId="2" type="noConversion"/>
  </si>
  <si>
    <t>대상 사업자(NO_BIZ)가 공급받는시기(DM_DATA)에 특정 매입처(NO_BISOCIAL)를 대상으로 매입상세(TY_MTH2)별로 제공받은 부가세의 총액</t>
    <phoneticPr fontId="2" type="noConversion"/>
  </si>
  <si>
    <t>매입유형</t>
    <phoneticPr fontId="2" type="noConversion"/>
  </si>
  <si>
    <t>CHAR(2)</t>
  </si>
  <si>
    <t>하단 유형번호 51~64번 수록</t>
    <phoneticPr fontId="2" type="noConversion"/>
  </si>
  <si>
    <t>대상 사업자(NO_BIZ)가 공급받는시기(DM_DATA)에 특정 매입처(NO_BISOCIAL)를 대상으로 매입상세(TY_MTH2)별로 제공받는 총공급건수</t>
    <phoneticPr fontId="2" type="noConversion"/>
  </si>
  <si>
    <t>대상 사업자(NO_BIZ)가 공급받는시기(DM_DATA)에 특정 매입처(NO_BISOCIAL)를 대상으로 매입상세(TY_MTH2)별로 취소한 건수</t>
    <phoneticPr fontId="2" type="noConversion"/>
  </si>
  <si>
    <t>대상 사업자(NO_BIZ)가 공급받는시기(DM_DATA)에 특정 매입처(NO_BISOCIAL)를 대상으로 매입상세(TY_MTH2)별로 취소한 금액</t>
    <phoneticPr fontId="2" type="noConversion"/>
  </si>
  <si>
    <t>대상 사업자(NO_BIZ)가 공급받는시기(DM_DATA)에 전체 매입처(NO_BISOCIAL)를 대상으로 제공받은 공급가액 총액</t>
    <phoneticPr fontId="2" type="noConversion"/>
  </si>
  <si>
    <t xml:space="preserve">총 매입 거래에 대한 공급가액의 합계
</t>
    <phoneticPr fontId="2" type="noConversion"/>
  </si>
  <si>
    <t>대상 사업자(NO_BIZ)가 공급받는시기(DM_DATA)에 전체 매입처(NO_BISOCIAL)를 대상으로 취소한 금액</t>
    <phoneticPr fontId="2" type="noConversion"/>
  </si>
  <si>
    <t>분자: 거래처별 매입액(MN_MNAM)
분모: 총 매입액(TOT_MN_MNAM)</t>
    <phoneticPr fontId="2" type="noConversion"/>
  </si>
  <si>
    <t>FTA_TRADEAR</t>
    <phoneticPr fontId="2" type="noConversion"/>
  </si>
  <si>
    <t>거래처별매출채권정보</t>
  </si>
  <si>
    <t>DW_BAS_NYYMM</t>
    <phoneticPr fontId="2" type="noConversion"/>
  </si>
  <si>
    <t>NO_BIZ</t>
  </si>
  <si>
    <t>NO_BISOCIAL</t>
    <phoneticPr fontId="2" type="noConversion"/>
  </si>
  <si>
    <t>대상사업자(NO_BIZ)가 판매를 진행한 매출처의 사업자등록번호</t>
    <phoneticPr fontId="2" type="noConversion"/>
  </si>
  <si>
    <t>발생(회수)월</t>
    <phoneticPr fontId="2" type="noConversion"/>
  </si>
  <si>
    <t>YYYYMM, 연도 4자리+월 2자리, 
기준년월(DW_BAS_NYYMM)로부터 최근12개월 동안 매출채권의 발생 또는 회수가 발생한 월</t>
    <phoneticPr fontId="2" type="noConversion"/>
  </si>
  <si>
    <t>MN_AR</t>
    <phoneticPr fontId="2" type="noConversion"/>
  </si>
  <si>
    <t>매출채권발생액</t>
    <phoneticPr fontId="2" type="noConversion"/>
  </si>
  <si>
    <t>대상사업자(NO_BIZ)가 발생월(DM_DATA)에 특정 매출처(NO_BISOCIAL)를 대상으로 판매한 매출채권의 총액</t>
    <phoneticPr fontId="2" type="noConversion"/>
  </si>
  <si>
    <t>더존코드 기준 외상매출금, 받을어음, 공사미수금 3개를 매출채권으로 봄(미수금 포함여부 검토)</t>
    <phoneticPr fontId="2" type="noConversion"/>
  </si>
  <si>
    <t>MN_RCV</t>
    <phoneticPr fontId="2" type="noConversion"/>
  </si>
  <si>
    <t>매출채권회수액</t>
    <phoneticPr fontId="2" type="noConversion"/>
  </si>
  <si>
    <t>대상사업자(NO_BIZ)가 회수월(DM_DATA)에 특정 매출처(NO_BISOCIAL)를 대상으로 회수한 매출채권의 총액</t>
    <phoneticPr fontId="2" type="noConversion"/>
  </si>
  <si>
    <t>영문테이블명</t>
  </si>
  <si>
    <t>FTA_TRADEAP</t>
    <phoneticPr fontId="2" type="noConversion"/>
  </si>
  <si>
    <t>거래처별매입채무정보</t>
  </si>
  <si>
    <t>varchar(10)</t>
  </si>
  <si>
    <t>대상사업자(NO_BIZ)가 구매를 진행한 구매처의 사업자등록번호</t>
    <phoneticPr fontId="2" type="noConversion"/>
  </si>
  <si>
    <t>NO_BISOCIAL에 대해 사용자가 입력한 매입처명</t>
  </si>
  <si>
    <t>발생(지급)월</t>
    <phoneticPr fontId="2" type="noConversion"/>
  </si>
  <si>
    <t>YYYYMM, 연도 4자리+월 2자리, 
기준년월(DW_BAS_NYYMM)로부터 최근12개월 동안 매입채무의 발생 또는 지급이 발생한 월</t>
    <phoneticPr fontId="2" type="noConversion"/>
  </si>
  <si>
    <t>MN_AP</t>
    <phoneticPr fontId="2" type="noConversion"/>
  </si>
  <si>
    <t>매입채무발생액</t>
    <phoneticPr fontId="2" type="noConversion"/>
  </si>
  <si>
    <t>대상사업자(NO_BIZ)가 발생월(DM_DATA)에 특정 매입처(NO_BISOCIAL)를 대상으로 구매한 매입채무의 총액</t>
    <phoneticPr fontId="2" type="noConversion"/>
  </si>
  <si>
    <t>더존코드 기준 외상매입금, 지급어음, 미지급금 3개를 매입채무로 봄</t>
    <phoneticPr fontId="2" type="noConversion"/>
  </si>
  <si>
    <t>MN_PAY</t>
    <phoneticPr fontId="2" type="noConversion"/>
  </si>
  <si>
    <t>매입채무지급액</t>
    <phoneticPr fontId="2" type="noConversion"/>
  </si>
  <si>
    <t>대상사업자(NO_BIZ)가 지급월(DM_DATA)에 특정 매입처(NO_BISOCIAL)를 대상으로 지급한 매입채무의 총액</t>
    <phoneticPr fontId="2" type="noConversion"/>
  </si>
  <si>
    <t>FTA_DPAYR</t>
  </si>
  <si>
    <t>거래처별매출채권회수기간</t>
  </si>
  <si>
    <t>최초 제공 후 매월 업데이트 함</t>
    <phoneticPr fontId="2" type="noConversion"/>
  </si>
  <si>
    <t xml:space="preserve">
    CASE 
        WHEN SUBSTR(no_biz, 4, 2) BETWEEN '81' AND '88' THEN '법인사업자'
        ELSE '개인사업자'
    END AS no_biz
</t>
    <phoneticPr fontId="2" type="noConversion"/>
  </si>
  <si>
    <t>DM_ST</t>
    <phoneticPr fontId="2" type="noConversion"/>
  </si>
  <si>
    <t>회수시작월</t>
    <phoneticPr fontId="2" type="noConversion"/>
  </si>
  <si>
    <t>CHAR(6)</t>
    <phoneticPr fontId="2" type="noConversion"/>
  </si>
  <si>
    <t>회수기간을 산정하기 위한 시작월</t>
    <phoneticPr fontId="2" type="noConversion"/>
  </si>
  <si>
    <t>CT_TERM(기간구분)에 따라 회수기간을 계산하는 시작월</t>
    <phoneticPr fontId="2" type="noConversion"/>
  </si>
  <si>
    <t>DM_END</t>
    <phoneticPr fontId="2" type="noConversion"/>
  </si>
  <si>
    <t>회수기간을 산정하기 위한 종료월</t>
    <phoneticPr fontId="2" type="noConversion"/>
  </si>
  <si>
    <t>CT_TERM(기간구분)에 따라 회수기간을 계산하는 종료월</t>
    <phoneticPr fontId="2" type="noConversion"/>
  </si>
  <si>
    <t>NO_BISOCIAL에 대해 사용자가 입력한 매출처명</t>
    <phoneticPr fontId="2" type="noConversion"/>
  </si>
  <si>
    <t>DPAYR</t>
    <phoneticPr fontId="2" type="noConversion"/>
  </si>
  <si>
    <t>회수기간</t>
    <phoneticPr fontId="2" type="noConversion"/>
  </si>
  <si>
    <t>numeric(20,6)</t>
    <phoneticPr fontId="2" type="noConversion"/>
  </si>
  <si>
    <t xml:space="preserve">
①회수기준월(DM_DATA)로부터 직전 24개월(또는 그 이상)에 해당하는 매출채권 잔액을 계산하고 
②회수금액을 선입선출법으로 상계하여 
③매출채권 잔액보다 회수금액이 큰 기간을 회수기간(ex. 30.256175일 )으로 봄 
</t>
    <phoneticPr fontId="2" type="noConversion"/>
  </si>
  <si>
    <t>회수(지급)기간산출로직 시트 참조</t>
    <phoneticPr fontId="2" type="noConversion"/>
  </si>
  <si>
    <t>RATE_PAYR</t>
    <phoneticPr fontId="2" type="noConversion"/>
  </si>
  <si>
    <t>회수율</t>
    <phoneticPr fontId="2" type="noConversion"/>
  </si>
  <si>
    <t>numeric(20,8)</t>
    <phoneticPr fontId="2" type="noConversion"/>
  </si>
  <si>
    <t xml:space="preserve">(분자)회수된 매출채권금액/ (분모)순발생매출채권
</t>
    <phoneticPr fontId="2" type="noConversion"/>
  </si>
  <si>
    <t xml:space="preserve">
</t>
    <phoneticPr fontId="2" type="noConversion"/>
  </si>
  <si>
    <t>CD_TERM</t>
    <phoneticPr fontId="2" type="noConversion"/>
  </si>
  <si>
    <t>기간구분</t>
    <phoneticPr fontId="2" type="noConversion"/>
  </si>
  <si>
    <t>CHAR(1)</t>
    <phoneticPr fontId="2" type="noConversion"/>
  </si>
  <si>
    <t>1: 최근 12개월
2: 직전 12개월
3: 최근 24개월</t>
    <phoneticPr fontId="2" type="noConversion"/>
  </si>
  <si>
    <t>DM_DATA로부터 과거 24개월+@에 대한 거래내역에 대해서
12개월 단위로 구분한 (최근 12개월, 직전 12개월) 회수기간 및 회수율과 
24개월 단위로 산정한 (최근 24개월) 회수기간 및 회수율을 제공함
기간산정기준 시트 참조</t>
    <phoneticPr fontId="2" type="noConversion"/>
  </si>
  <si>
    <t>MN_CAR</t>
    <phoneticPr fontId="2" type="noConversion"/>
  </si>
  <si>
    <t>매출채권 
회수금액</t>
    <phoneticPr fontId="2" type="noConversion"/>
  </si>
  <si>
    <t>numeric(20.0)</t>
    <phoneticPr fontId="2" type="noConversion"/>
  </si>
  <si>
    <t xml:space="preserve">매출채권 회수기간 =
(분자)매출채권 가중평균 회수금액/ (분모)매출채권 회수금액 </t>
    <phoneticPr fontId="2" type="noConversion"/>
  </si>
  <si>
    <t xml:space="preserve">
회수기간 산출 근거가 되는 분모값 
</t>
    <phoneticPr fontId="2" type="noConversion"/>
  </si>
  <si>
    <t>MN_WCAR</t>
    <phoneticPr fontId="2" type="noConversion"/>
  </si>
  <si>
    <t>매출채권
가중평균 회수금액</t>
    <phoneticPr fontId="2" type="noConversion"/>
  </si>
  <si>
    <t xml:space="preserve">회수기간 산출 근거가 되는 분자값 </t>
    <phoneticPr fontId="2" type="noConversion"/>
  </si>
  <si>
    <t>FTA_DPAYP</t>
  </si>
  <si>
    <t>거래처별매입채무지급기간</t>
  </si>
  <si>
    <t>지급기간을 산정하기 위한 시작월</t>
    <phoneticPr fontId="2" type="noConversion"/>
  </si>
  <si>
    <t>CT_TERM(기간구분)에 따라 지급기간을 계산하는 시작월</t>
    <phoneticPr fontId="2" type="noConversion"/>
  </si>
  <si>
    <t>지급기간을 산정하기 위한 종료월</t>
    <phoneticPr fontId="2" type="noConversion"/>
  </si>
  <si>
    <t>CT_TERM(기간구분)에 따라 지급기간을 계산하는 종료월</t>
    <phoneticPr fontId="2" type="noConversion"/>
  </si>
  <si>
    <t>DPAYP</t>
    <phoneticPr fontId="2" type="noConversion"/>
  </si>
  <si>
    <t>지급기간</t>
    <phoneticPr fontId="2" type="noConversion"/>
  </si>
  <si>
    <t>numeric(20,6)</t>
  </si>
  <si>
    <t xml:space="preserve">①지급기준월(DM_DATA)로부터 직전 12개월(또는 그 이상)에 해당하는 매입채무 잔액을 계산하고 
②지급금액을 선입선출법으로 상계하여 
③매입채무 잔액보다 지급금액이 큰 기간을 지급기간(ex. 30.256175일 )으로 봄  
</t>
    <phoneticPr fontId="2" type="noConversion"/>
  </si>
  <si>
    <t>RATE_PAYP</t>
    <phoneticPr fontId="2" type="noConversion"/>
  </si>
  <si>
    <t>지급율</t>
    <phoneticPr fontId="2" type="noConversion"/>
  </si>
  <si>
    <t xml:space="preserve">(분자)지급한 매입채무금액/ (분모)순발생매입채무
</t>
    <phoneticPr fontId="2" type="noConversion"/>
  </si>
  <si>
    <t>DM_DATA로부터 과거 24개월+@에 대한 거래내역에 대해서
12개월 단위로 구분한 (최근 12개월, 직전 12개월) 지급기간 및 지급율과 
24개월 단위로 산정한 (최근 24개월) 지급기간 및 지급율을 제공함</t>
    <phoneticPr fontId="2" type="noConversion"/>
  </si>
  <si>
    <t>MN_PAP</t>
    <phoneticPr fontId="2" type="noConversion"/>
  </si>
  <si>
    <t>매입채무
지급금액</t>
    <phoneticPr fontId="2" type="noConversion"/>
  </si>
  <si>
    <t xml:space="preserve">매입채무 지급기간 =
(분자)매입채무 가중평균 지급금액/ (분모)매입채무 지급금액 </t>
    <phoneticPr fontId="2" type="noConversion"/>
  </si>
  <si>
    <t xml:space="preserve">
지급기간 산출 근거가 되는 분모값 
</t>
    <phoneticPr fontId="2" type="noConversion"/>
  </si>
  <si>
    <t>MN_WPAP</t>
    <phoneticPr fontId="2" type="noConversion"/>
  </si>
  <si>
    <t>매입채무
가중평균 지급금액</t>
    <phoneticPr fontId="2" type="noConversion"/>
  </si>
  <si>
    <t>매입채무 지급기간 =
(분자)매입채무 가중평균 지급금액/ (분모)매입채무 지급금액</t>
    <phoneticPr fontId="2" type="noConversion"/>
  </si>
  <si>
    <t xml:space="preserve">지급기간 산출 근거가 되는 분자값 </t>
    <phoneticPr fontId="2" type="noConversion"/>
  </si>
  <si>
    <t>FTA_VAT_INFO</t>
    <phoneticPr fontId="2" type="noConversion"/>
  </si>
  <si>
    <t>분기별매출(매입)정보</t>
    <phoneticPr fontId="2" type="noConversion"/>
  </si>
  <si>
    <t>최초 제공 후 법인은 분기 단위로 개인사업자는 반기 단위로 변동을 체크하여 매월 제공함</t>
    <phoneticPr fontId="2" type="noConversion"/>
  </si>
  <si>
    <t xml:space="preserve">    CASE 
        WHEN SUBSTR(no_biz, 4, 2) BETWEEN '81' AND '88' THEN '법인사업자'
        ELSE '개인사업자'
    END AS no_biz</t>
    <phoneticPr fontId="2" type="noConversion"/>
  </si>
  <si>
    <t>YN_JIJUM</t>
    <phoneticPr fontId="2" type="noConversion"/>
  </si>
  <si>
    <t>본지점구분</t>
    <phoneticPr fontId="2" type="noConversion"/>
  </si>
  <si>
    <t xml:space="preserve">CASE 
    WHEN YN_JIJUM = 0 THEN '본점'
    WHEN YN_JIJUM = 1 AND substr(no_biz, 4, 2) IN ('81', '86', '87', '88') THEN '본점'
    WHEN YN_JIJUM = 1 THEN '지점'
END AS 본지점구분
</t>
    <phoneticPr fontId="2" type="noConversion"/>
  </si>
  <si>
    <t>2가지 방법이 있음
1. 회사등록&gt;본지점여부로 판단(0.본점 1.지점)
2. 회사등록&gt;사업자번호로 판단
단, 아래 조건은 명백히 본점으로 구분함
substr(no_biz,4,2) in ('81','86','87','88')</t>
    <phoneticPr fontId="2" type="noConversion"/>
  </si>
  <si>
    <t>거래처사업자번호</t>
    <phoneticPr fontId="2" type="noConversion"/>
  </si>
  <si>
    <t>대상 사업자(NO_BIZ)가 판매(구매)를 진행한 매출(매입)처의 사업자등록번호</t>
    <phoneticPr fontId="2" type="noConversion"/>
  </si>
  <si>
    <t>거래처업체명</t>
    <phoneticPr fontId="2" type="noConversion"/>
  </si>
  <si>
    <t>NO_BISOCIAL에 대해 사용자가 입력한 매출(매입)처명</t>
    <phoneticPr fontId="2" type="noConversion"/>
  </si>
  <si>
    <t>TY_MTH</t>
    <phoneticPr fontId="2" type="noConversion"/>
  </si>
  <si>
    <t>매입매출구분</t>
    <phoneticPr fontId="2" type="noConversion"/>
  </si>
  <si>
    <t xml:space="preserve">
1 : 매출 2: 매입
</t>
    <phoneticPr fontId="2" type="noConversion"/>
  </si>
  <si>
    <t>1,2만 수록함</t>
    <phoneticPr fontId="2" type="noConversion"/>
  </si>
  <si>
    <t>매출매입유형</t>
    <phoneticPr fontId="2" type="noConversion"/>
  </si>
  <si>
    <t>하단 유형번호 11~25번 수록
하단 유형번호 51~64번 수록</t>
    <phoneticPr fontId="2" type="noConversion"/>
  </si>
  <si>
    <t>유형 외 다른 값 수록 시, 99로 변경</t>
  </si>
  <si>
    <t>○</t>
  </si>
  <si>
    <t>YYYY</t>
    <phoneticPr fontId="2" type="noConversion"/>
  </si>
  <si>
    <t>기준년도</t>
    <phoneticPr fontId="2" type="noConversion"/>
  </si>
  <si>
    <t>CHAR(4)</t>
    <phoneticPr fontId="2" type="noConversion"/>
  </si>
  <si>
    <t xml:space="preserve">SUBSTR(DM_DATA,1,4)  </t>
    <phoneticPr fontId="2" type="noConversion"/>
  </si>
  <si>
    <t>BAS_NQ</t>
    <phoneticPr fontId="2" type="noConversion"/>
  </si>
  <si>
    <t>분기구분</t>
    <phoneticPr fontId="2" type="noConversion"/>
  </si>
  <si>
    <t xml:space="preserve">  CASE 
       WHEN SUBSTR(DM_DATA, 5, 2) BETWEEN '01' AND '03' THEN '1'
       WHEN SUBSTR(DM_DATA, 5, 2) BETWEEN '04' AND '06' THEN '2'
       WHEN SUBSTR(DM_DATA, 5, 2) BETWEEN '07' AND '09' THEN '3'
       WHEN SUBSTR(DM_DATA, 5, 2) BETWEEN '10' AND '12' THEN '4'
       WHEN SUBSTR(DM_DATA, 5, 2) BETWEEN '01' AND '06' THEN '5'
       WHEN SUBSTR(DM_DATA, 5, 2) BETWEEN '07' AND '12' THEN '6'
  END AS BAS_NQ
 CASE
    WHEN SUBSTR(NO_BIZ, 4, 2) BETWEEN '01' AND '79' THEN '1' -- 개인
    WHEN SUBSTR(NO_BIZ, 4, 2) BETWEEN '90' AND '99' THEN '1' -- 개인
    ELSE '2' -- 법인
 END AS YN_PRIVATE</t>
    <phoneticPr fontId="2" type="noConversion"/>
  </si>
  <si>
    <t>중간법인(12월말 법인이 아닌경우)이라도
1~3월/4~6월/7~9월/10~12월에 대한 
매출(매입)내역을 분기별로 신고하는 것이 원칙임
-----------------------------------------------------
법인 : 분기별 신고
개인 : 반기별 신고 
-----------------------------------------------------
사업자번호 기준 개인,법인 구분
법인인 경우 BAS_NQ IN ('1','2','3','4')
개인인 경우 BAS_NQ IN ('5','6')</t>
    <phoneticPr fontId="2" type="noConversion"/>
  </si>
  <si>
    <t>분자: 거래처별분기매입/매출액
분모: 분기총매입/매출액</t>
    <phoneticPr fontId="2" type="noConversion"/>
  </si>
  <si>
    <t>TRAN_AMT</t>
    <phoneticPr fontId="2" type="noConversion"/>
  </si>
  <si>
    <t>분기매입/매출액</t>
    <phoneticPr fontId="2" type="noConversion"/>
  </si>
  <si>
    <t>NO_BIZ가 법인인 경우 거래처별 분기매입/매출정보 제공
개인인 경우 거래처별 반기매입/매출정보 제공</t>
    <phoneticPr fontId="2" type="noConversion"/>
  </si>
  <si>
    <t xml:space="preserve">
YN_PRIVATE IN (1,2) 
법인인 경우 BAS_NQ IN ('1','2','3','4') and YN_PRIVATE = 2
개인인 경우 BAS_NQ IN ('5','6') and YN_PRIVATE = 1</t>
    <phoneticPr fontId="2" type="noConversion"/>
  </si>
  <si>
    <t>TOT_TRAN_AMT</t>
    <phoneticPr fontId="2" type="noConversion"/>
  </si>
  <si>
    <t>분기총매입/매출액</t>
    <phoneticPr fontId="2" type="noConversion"/>
  </si>
  <si>
    <t>NO_BIZ가 법인인 경우 전체거래처에대한 분기매입/매출정보 제공
개인인 경우 전체거래처에 대한 반기매입/매출정보 제공</t>
    <phoneticPr fontId="2" type="noConversion"/>
  </si>
  <si>
    <t>DA_ACCBEGIN</t>
    <phoneticPr fontId="2" type="noConversion"/>
  </si>
  <si>
    <t>과세기간시작일자</t>
    <phoneticPr fontId="2" type="noConversion"/>
  </si>
  <si>
    <t>CHAR(8)</t>
    <phoneticPr fontId="2" type="noConversion"/>
  </si>
  <si>
    <t xml:space="preserve">YYYYMMDD
월단위 전표기준으로 제공하므로, 
법인은 3개월단위 
개인은 6개월단위 정보를 제공함 </t>
    <phoneticPr fontId="2" type="noConversion"/>
  </si>
  <si>
    <t>&gt;MMDD 정의
1분기 시작월일: 0101 고정
2분기 시작월일: 0401 고정
3분기 시작월일: 0701 고정
4분기 시작월일: 1001 고정</t>
    <phoneticPr fontId="2" type="noConversion"/>
  </si>
  <si>
    <t>DA_ACCEND</t>
    <phoneticPr fontId="2" type="noConversion"/>
  </si>
  <si>
    <t>과세기간종료일자</t>
    <phoneticPr fontId="2" type="noConversion"/>
  </si>
  <si>
    <t>휴폐업API조회되는 경우 또는 DA_END(폐업일)입력 법인의 경우
---------------------------------------------------------------
1분기 종료월일: 0331 또는 폐업일 
2분기 종료월일: 0630 또는 폐업일
3분기 종료월일: 0930 또는 폐업일
4분기 종료월일: 1231 또는 폐업일</t>
    <phoneticPr fontId="2" type="noConversion"/>
  </si>
  <si>
    <t>분기공급건수</t>
    <phoneticPr fontId="2" type="noConversion"/>
  </si>
  <si>
    <t>대상 사업자(NO_BIZ)가 공급시기(DM_DATA)에 특정 매출(매입)처(NO_BISOCIAL)를 대상으로 제공한 총공급건수</t>
    <phoneticPr fontId="2" type="noConversion"/>
  </si>
  <si>
    <t>MN_MNAM&lt;&gt;0인 총 거래건수 
※DM_DATA 기준 발생 및 취소 건을 모두 집계함
&gt;SUM(CT_MNAM) GROUP BY BAS_NQ,NO_BISOCIAL</t>
    <phoneticPr fontId="2" type="noConversion"/>
  </si>
  <si>
    <t>분기취소건수</t>
    <phoneticPr fontId="2" type="noConversion"/>
  </si>
  <si>
    <t>대상 사업자(NO_BIZ)가 공급시기(DM_DATA)에 특정 매출(매입)처(NO_BISOCIAL)를 대상으로 취소한 건수</t>
    <phoneticPr fontId="2" type="noConversion"/>
  </si>
  <si>
    <t>MN_MNAM&lt;0인 거래건수
※DM_DATA 취소 건을 모두 집계함
※취소 : 수정T/I발생 사유(반품,계약채지,착오발급 등)
&gt;SUM(CT_MNAM_M) GROUP BY BAS_NQ,NO_BISOCIAL</t>
    <phoneticPr fontId="2" type="noConversion"/>
  </si>
  <si>
    <t>MN_MNAM_M</t>
    <phoneticPr fontId="2" type="noConversion"/>
  </si>
  <si>
    <t>분기취소금액</t>
    <phoneticPr fontId="2" type="noConversion"/>
  </si>
  <si>
    <t>대상 사업자(NO_BIZ)가 공급시기(DM_DATA)에 특정 매출(매입)처 
(NO_BISOCIAL)를 대상으로 취소한 금액</t>
    <phoneticPr fontId="2" type="noConversion"/>
  </si>
  <si>
    <t>MN_MNAM&lt;0인 거래건에 대한 금액 합계
&gt;&gt;SUM(MN_MNAM_M) GROUP BY BAS_NQ,NO_BISOCIAL</t>
    <phoneticPr fontId="2" type="noConversion"/>
  </si>
  <si>
    <t>분기총취소금액</t>
    <phoneticPr fontId="2" type="noConversion"/>
  </si>
  <si>
    <t>대상 사업자(NO_BIZ)가 공급시기(DM_DATA)에 전체 매출(매입)처 
(NO_BISOCIAL)를 대상으로 취소한 금액</t>
    <phoneticPr fontId="2" type="noConversion"/>
  </si>
  <si>
    <t>MN_MNAM&lt;0인 거래건에 대한 금액 합계
&gt;&gt;SUM(MN_MNAM_M) GROUP BY BAS_NQ, NO_BIZ</t>
    <phoneticPr fontId="2" type="noConversion"/>
  </si>
  <si>
    <t>유형</t>
  </si>
  <si>
    <t>거래증빙</t>
  </si>
  <si>
    <t>입력내용</t>
  </si>
  <si>
    <t>부가가치세</t>
  </si>
  <si>
    <t>11.과세</t>
  </si>
  <si>
    <t>세금계산서</t>
  </si>
  <si>
    <t>(전자)세금계산서 발급에 의한 매출 거래인 경우</t>
  </si>
  <si>
    <t>12.영세</t>
  </si>
  <si>
    <t>내국신용장, 구매승인서 등 영세율(전자)세금계산서 발급에 의한 매출 거래인 경우</t>
    <phoneticPr fontId="2" type="noConversion"/>
  </si>
  <si>
    <t>13.면세</t>
  </si>
  <si>
    <t>계산서</t>
  </si>
  <si>
    <t>면세사업자가 발급하거나 면세품목을 거래하고 계산서에 의한 매출 거래인 경우</t>
    <phoneticPr fontId="2" type="noConversion"/>
  </si>
  <si>
    <t>해당없음</t>
  </si>
  <si>
    <t>14.건별</t>
  </si>
  <si>
    <t>영수증</t>
  </si>
  <si>
    <t>세금계산서 및 현금영수증이 발급되지 않은 소매매출, 간주공급 등의 거래인 경우</t>
    <phoneticPr fontId="2" type="noConversion"/>
  </si>
  <si>
    <t>15.종합</t>
  </si>
  <si>
    <t>영수증
(간이과세의 경우)</t>
    <phoneticPr fontId="2" type="noConversion"/>
  </si>
  <si>
    <t>세금계산서 및 현금영수증이 발급되지 않은 과세매출 거래인 경우</t>
  </si>
  <si>
    <t>“14.건별”과의 차이는 공급가액란에 입력된 공급대가(VAT포함 금액)를 그대로 반영하여 공급가액과 부가가치세가 구분되지 않습니다.</t>
  </si>
  <si>
    <t>16.수출</t>
  </si>
  <si>
    <t>외국환증명서, 수출면장 등에 의해 외국에 직접 수출하는 거래인 경우</t>
  </si>
  <si>
    <t>17.카과</t>
  </si>
  <si>
    <t>신용카드</t>
  </si>
  <si>
    <t>과세대상 거래로 신용카드매출전표 발급에 의한 거래인 경우</t>
  </si>
  <si>
    <t>18.카면</t>
  </si>
  <si>
    <t>면세대상 거래로 신용카드매출전표 발급에 의한 면세대상 매출 거래인 경우</t>
  </si>
  <si>
    <t>19.카영</t>
  </si>
  <si>
    <t>영세율대상 거래로 신용카드매출전표 발급에 의한 매출 거래인 경우</t>
  </si>
  <si>
    <t>20.면건</t>
  </si>
  <si>
    <t>계산서가 발급되지 않은 면세 매출 거래인 경우</t>
  </si>
  <si>
    <t>21.전자</t>
  </si>
  <si>
    <t>전자화폐</t>
  </si>
  <si>
    <t>전자화폐 등 전자적 결제 수단을 이용한 매출 거래인 경우</t>
  </si>
  <si>
    <t>22.현과</t>
  </si>
  <si>
    <t>현금영수증</t>
  </si>
  <si>
    <t>과세대상 거래로 현금영수증 발급에 의한 매출 거래인 경우</t>
  </si>
  <si>
    <t>23.현면</t>
  </si>
  <si>
    <t>면세대상 거래로 현금영수증 발급에 의한 면세대상 매출 거래인 경우</t>
  </si>
  <si>
    <t>24.현영</t>
  </si>
  <si>
    <t>영세율대상 거래로 현금영수증 발급에 의한 매출 거래인 경우</t>
  </si>
  <si>
    <t>25.매세</t>
  </si>
  <si>
    <t>매입자발행세금계산서에 의한 매출 거래인 경우</t>
  </si>
  <si>
    <t>51.과세</t>
  </si>
  <si>
    <t>(전자)세금계산서 수취에 의한 매입 거래인 경우</t>
  </si>
  <si>
    <t>52.영세</t>
  </si>
  <si>
    <t>내국신용장, 구매승인서 등 영세율(전자)세금계산서 수취에 의한 매입 거래인 경우</t>
  </si>
  <si>
    <t>53.면세</t>
  </si>
  <si>
    <t>면세사업자가 발급하거나 면세품목을 거래하고 계산서에 의한 매입 거래인 경우</t>
  </si>
  <si>
    <t>54.불공</t>
  </si>
  <si>
    <t>(전자)세금계산서를 수취하였으나 부가가치세법에서 정하는 불공제 사유에 해당하는 매입 거래인 경우</t>
  </si>
  <si>
    <t>55.수입</t>
  </si>
  <si>
    <t>세관장이 발급하는 수입세금계산서를 수취한 매입 거래인 경우</t>
  </si>
  <si>
    <t>56.금전</t>
  </si>
  <si>
    <t>금전등록기 영수증에 의한 매입 거래인 경우</t>
  </si>
  <si>
    <t>57.카과</t>
  </si>
  <si>
    <t>과세대상 거래로 신용카드매출전표 수취에 의한 매입 거래인 경우</t>
  </si>
  <si>
    <t>58.카면</t>
  </si>
  <si>
    <t>면세대상 거래로 신용카드매출전표 수취에 의한 면세대상 매입 거래인 경우</t>
  </si>
  <si>
    <t>59.카영</t>
  </si>
  <si>
    <t>영세율대상 거래로 신용카드매출전표 수취에 의한 매입 거래인 경우</t>
  </si>
  <si>
    <t>60.면건</t>
  </si>
  <si>
    <t>계산서가 발급되지 않은 면세 매입 거래인 경우</t>
  </si>
  <si>
    <t>61.현과</t>
  </si>
  <si>
    <t>과세대상 거래로 현금영수증 수취에 의한 매입 거래인 경우</t>
  </si>
  <si>
    <t>62.현면</t>
  </si>
  <si>
    <t>면세대상 거래로 현금영수증 수취에 의한 면세대상 매입 거래인 경우</t>
  </si>
  <si>
    <t>63.복지</t>
  </si>
  <si>
    <t>복지카드</t>
  </si>
  <si>
    <t>과세대상 거래로 복지카드 수취에 의한 매입 거래인 경우</t>
  </si>
  <si>
    <t>64.매세</t>
  </si>
  <si>
    <t>매입자발행세금계산서에 의한 매입 거래인 경우</t>
  </si>
  <si>
    <t xml:space="preserve">A거래처에 대해서 기준월(24년 3월)로부터 최근 24개월에 대한 회수내역을 기반으로 회수기간을 계산한다. </t>
    <phoneticPr fontId="2" type="noConversion"/>
  </si>
  <si>
    <t xml:space="preserve">1. 24년 3월에 대한 직전 24개월은 22년 4월이므로 22년 4월의 매출채권 잔액을 계산한다. </t>
    <phoneticPr fontId="2" type="noConversion"/>
  </si>
  <si>
    <t xml:space="preserve">2. 22년 4월의 매출채권에는 21년도에서 이월된 잔액(미회수채권)과 22년 1월~3월까지 발생된 금액을 포함한다. </t>
    <phoneticPr fontId="2" type="noConversion"/>
  </si>
  <si>
    <t xml:space="preserve">3. 22년도 1월부터 회수된 금액은 미회수채권에서 먼저 차감하고 해당 내역은 회수기간에 포함하지 않는다. </t>
    <phoneticPr fontId="2" type="noConversion"/>
  </si>
  <si>
    <r>
      <t xml:space="preserve">1. 거래처별 회수(지급)기간은 </t>
    </r>
    <r>
      <rPr>
        <sz val="10"/>
        <color rgb="FFFF0000"/>
        <rFont val="맑은 고딕"/>
        <family val="3"/>
        <charset val="129"/>
        <scheme val="minor"/>
      </rPr>
      <t>기준월로부터 24개월+@</t>
    </r>
    <r>
      <rPr>
        <sz val="10"/>
        <color theme="1"/>
        <rFont val="맑은 고딕"/>
        <family val="2"/>
        <charset val="129"/>
        <scheme val="minor"/>
      </rPr>
      <t xml:space="preserve"> 전까지 기간 단위로 설정함</t>
    </r>
    <phoneticPr fontId="2" type="noConversion"/>
  </si>
  <si>
    <t>2. 예를 들어, 기준월이 2024년 3월인 경우 24개월 전인 2022년 4월이 아닌, 회계기수의 시작인 2022년 1월 1일 까지를 기간 단위로 봄</t>
    <phoneticPr fontId="2" type="noConversion"/>
  </si>
  <si>
    <t xml:space="preserve">   (이유, 2022년 4월 이전에 발생된 채권이 2022년 4월 이후에 회수될 수도 있으므로)</t>
    <phoneticPr fontId="2" type="noConversion"/>
  </si>
  <si>
    <t>3. 거래처별로 발생된 매출채권에 대한 (매출채권이 차변에 입력됨) 회수는 (매출채권이 대변에 분개됨) 먼저 발생된 금액이 먼저 회수된다고 가정함 (선입선출법)</t>
    <phoneticPr fontId="2" type="noConversion"/>
  </si>
  <si>
    <t>4. 회수기간은 가중평균 회수금액(회수금액 * 회수기간) 을 회수금액으로 나누어 계산함</t>
    <phoneticPr fontId="2" type="noConversion"/>
  </si>
  <si>
    <t>5. 예시 : A회사와 b거래처 간의 회수기간은 아래의 과정대로 계산됨</t>
    <phoneticPr fontId="2" type="noConversion"/>
  </si>
  <si>
    <t>b거래처</t>
    <phoneticPr fontId="2" type="noConversion"/>
  </si>
  <si>
    <t>회수기간
(단위,일)</t>
    <phoneticPr fontId="2" type="noConversion"/>
  </si>
  <si>
    <t>회수금액</t>
    <phoneticPr fontId="2" type="noConversion"/>
  </si>
  <si>
    <t>가중평균 회수금액</t>
    <phoneticPr fontId="2" type="noConversion"/>
  </si>
  <si>
    <t>분모</t>
    <phoneticPr fontId="2" type="noConversion"/>
  </si>
  <si>
    <t>분자</t>
    <phoneticPr fontId="2" type="noConversion"/>
  </si>
  <si>
    <t>최근12개월</t>
    <phoneticPr fontId="2" type="noConversion"/>
  </si>
  <si>
    <t>직전12개월</t>
    <phoneticPr fontId="2" type="noConversion"/>
  </si>
  <si>
    <t>직전24개월</t>
    <phoneticPr fontId="2" type="noConversion"/>
  </si>
  <si>
    <t>발생키</t>
    <phoneticPr fontId="2" type="noConversion"/>
  </si>
  <si>
    <t xml:space="preserve"> 발생일자 </t>
  </si>
  <si>
    <t>발생 거래처</t>
    <phoneticPr fontId="2" type="noConversion"/>
  </si>
  <si>
    <t xml:space="preserve"> 기초금액 </t>
  </si>
  <si>
    <t xml:space="preserve"> 발생금액 </t>
  </si>
  <si>
    <t>회수키</t>
    <phoneticPr fontId="2" type="noConversion"/>
  </si>
  <si>
    <t xml:space="preserve"> 회수일자 </t>
  </si>
  <si>
    <t>회수 거래처</t>
    <phoneticPr fontId="2" type="noConversion"/>
  </si>
  <si>
    <t xml:space="preserve"> 회수금액 </t>
  </si>
  <si>
    <t xml:space="preserve"> 회수잔액 </t>
  </si>
  <si>
    <t xml:space="preserve"> 회수기간 </t>
  </si>
  <si>
    <t>b</t>
    <phoneticPr fontId="2" type="noConversion"/>
  </si>
  <si>
    <t xml:space="preserve"> </t>
    <phoneticPr fontId="2" type="noConversion"/>
  </si>
  <si>
    <t>b</t>
  </si>
  <si>
    <t>미산정</t>
    <phoneticPr fontId="2" type="noConversion"/>
  </si>
  <si>
    <t>최근 24개월</t>
    <phoneticPr fontId="2" type="noConversion"/>
  </si>
  <si>
    <t>기준월</t>
    <phoneticPr fontId="2" type="noConversion"/>
  </si>
  <si>
    <t>구분</t>
    <phoneticPr fontId="2" type="noConversion"/>
  </si>
  <si>
    <t>내용</t>
    <phoneticPr fontId="2" type="noConversion"/>
  </si>
  <si>
    <t>01~79</t>
    <phoneticPr fontId="2" type="noConversion"/>
  </si>
  <si>
    <t>개인 과세사업자</t>
    <phoneticPr fontId="2" type="noConversion"/>
  </si>
  <si>
    <t>일반,간이 포함</t>
    <phoneticPr fontId="2" type="noConversion"/>
  </si>
  <si>
    <t>90~99</t>
    <phoneticPr fontId="2" type="noConversion"/>
  </si>
  <si>
    <t>개인 면세사업자</t>
    <phoneticPr fontId="2" type="noConversion"/>
  </si>
  <si>
    <t>개인으로 보는 단체 중 종교단체</t>
    <phoneticPr fontId="2" type="noConversion"/>
  </si>
  <si>
    <t xml:space="preserve">개인으로 보는 단체 </t>
    <phoneticPr fontId="2" type="noConversion"/>
  </si>
  <si>
    <t>81,86,87,88</t>
    <phoneticPr fontId="2" type="noConversion"/>
  </si>
  <si>
    <t>법인(영리)의 본점</t>
    <phoneticPr fontId="2" type="noConversion"/>
  </si>
  <si>
    <t>법인(비영리)의 본지점</t>
    <phoneticPr fontId="2" type="noConversion"/>
  </si>
  <si>
    <t>법인으로보는 단체포함</t>
    <phoneticPr fontId="2" type="noConversion"/>
  </si>
  <si>
    <t>국가, 지방자치단체</t>
    <phoneticPr fontId="2" type="noConversion"/>
  </si>
  <si>
    <t>외국법인의 본지점</t>
    <phoneticPr fontId="2" type="noConversion"/>
  </si>
  <si>
    <t>법인(영리)의 지점</t>
    <phoneticPr fontId="2" type="noConversion"/>
  </si>
  <si>
    <t>`</t>
    <phoneticPr fontId="2" type="noConversion"/>
  </si>
  <si>
    <t>구분</t>
    <phoneticPr fontId="22" type="noConversion"/>
  </si>
  <si>
    <t>회수율</t>
    <phoneticPr fontId="22" type="noConversion"/>
  </si>
  <si>
    <t>회수기간</t>
    <phoneticPr fontId="22" type="noConversion"/>
  </si>
  <si>
    <t>RATE_PAYR</t>
  </si>
  <si>
    <t>DPAYR</t>
  </si>
  <si>
    <t>분자</t>
    <phoneticPr fontId="22" type="noConversion"/>
  </si>
  <si>
    <t>회수금액이 더 큰 경우</t>
    <phoneticPr fontId="22" type="noConversion"/>
  </si>
  <si>
    <t>분모</t>
    <phoneticPr fontId="22" type="noConversion"/>
  </si>
  <si>
    <t>결과</t>
    <phoneticPr fontId="22" type="noConversion"/>
  </si>
  <si>
    <t>null</t>
    <phoneticPr fontId="22" type="noConversion"/>
  </si>
  <si>
    <t>회수 금액이 없음</t>
    <phoneticPr fontId="22" type="noConversion"/>
  </si>
  <si>
    <t xml:space="preserve"> </t>
    <phoneticPr fontId="22" type="noConversion"/>
  </si>
  <si>
    <t xml:space="preserve">회수기간 산출 식 </t>
    <phoneticPr fontId="2" type="noConversion"/>
  </si>
  <si>
    <t xml:space="preserve">분자 </t>
    <phoneticPr fontId="2" type="noConversion"/>
  </si>
  <si>
    <t xml:space="preserve">회수금액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</si>
</sst>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_-* #,##0_-;\-* #,##0_-;_-* &quot;-&quot;??_-;_-@_-"/>
  </numFmts>
  <fonts count="3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333333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0"/>
      <name val="돋움"/>
      <family val="3"/>
      <charset val="129"/>
    </font>
    <font>
      <strike/>
      <sz val="1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auto="1"/>
      </top>
      <bottom style="thin">
        <color indexed="64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tted">
        <color auto="1"/>
      </top>
      <bottom style="double">
        <color indexed="64"/>
      </bottom>
      <diagonal/>
    </border>
    <border>
      <left/>
      <right/>
      <top style="dotted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9" fillId="0" borderId="0" xfId="1" applyFont="1">
      <alignment vertical="center"/>
    </xf>
    <xf numFmtId="0" fontId="9" fillId="0" borderId="5" xfId="1" applyFont="1" applyBorder="1">
      <alignment vertical="center"/>
    </xf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horizontal="distributed" vertical="distributed"/>
    </xf>
    <xf numFmtId="49" fontId="9" fillId="0" borderId="0" xfId="1" applyNumberFormat="1" applyFont="1">
      <alignment vertical="center"/>
    </xf>
    <xf numFmtId="49" fontId="9" fillId="0" borderId="0" xfId="1" applyNumberFormat="1" applyFont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9" fillId="0" borderId="23" xfId="1" applyFont="1" applyBorder="1">
      <alignment vertical="center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2" borderId="0" xfId="2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3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3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9" fillId="0" borderId="15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9" fillId="0" borderId="20" xfId="2" applyFont="1" applyBorder="1" applyAlignment="1">
      <alignment vertical="center"/>
    </xf>
    <xf numFmtId="0" fontId="9" fillId="0" borderId="25" xfId="2" applyFont="1" applyBorder="1" applyAlignment="1">
      <alignment vertical="center"/>
    </xf>
    <xf numFmtId="0" fontId="9" fillId="0" borderId="24" xfId="2" applyFont="1" applyBorder="1" applyAlignment="1">
      <alignment horizontal="left" vertical="center"/>
    </xf>
    <xf numFmtId="0" fontId="9" fillId="0" borderId="25" xfId="2" applyFont="1" applyBorder="1" applyAlignment="1">
      <alignment horizontal="left" vertical="center"/>
    </xf>
    <xf numFmtId="0" fontId="12" fillId="0" borderId="25" xfId="2" applyFont="1" applyBorder="1" applyAlignment="1">
      <alignment horizontal="left" vertical="center"/>
    </xf>
    <xf numFmtId="0" fontId="17" fillId="0" borderId="24" xfId="2" applyFont="1" applyBorder="1" applyAlignment="1">
      <alignment vertical="center"/>
    </xf>
    <xf numFmtId="0" fontId="17" fillId="0" borderId="24" xfId="2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0" borderId="24" xfId="2" applyFont="1" applyBorder="1" applyAlignment="1">
      <alignment vertical="center"/>
    </xf>
    <xf numFmtId="0" fontId="9" fillId="4" borderId="11" xfId="2" applyFont="1" applyFill="1" applyBorder="1" applyAlignment="1">
      <alignment horizontal="left" vertical="center"/>
    </xf>
    <xf numFmtId="0" fontId="9" fillId="4" borderId="15" xfId="2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" fillId="3" borderId="0" xfId="0" applyFont="1" applyFill="1">
      <alignment vertical="center"/>
    </xf>
    <xf numFmtId="0" fontId="8" fillId="0" borderId="0" xfId="2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27" xfId="0" applyBorder="1">
      <alignment vertical="center"/>
    </xf>
    <xf numFmtId="0" fontId="1" fillId="3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9" fillId="3" borderId="1" xfId="0" applyFont="1" applyFill="1" applyBorder="1">
      <alignment vertical="center"/>
    </xf>
    <xf numFmtId="0" fontId="0" fillId="0" borderId="2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5" fillId="2" borderId="36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41" fontId="15" fillId="0" borderId="36" xfId="3" applyFont="1" applyBorder="1" applyAlignment="1">
      <alignment horizontal="right" vertical="center"/>
    </xf>
    <xf numFmtId="0" fontId="15" fillId="7" borderId="36" xfId="0" applyFont="1" applyFill="1" applyBorder="1" applyAlignment="1">
      <alignment horizontal="center" vertical="center"/>
    </xf>
    <xf numFmtId="176" fontId="15" fillId="7" borderId="36" xfId="3" applyNumberFormat="1" applyFont="1" applyFill="1" applyBorder="1" applyAlignment="1">
      <alignment horizontal="right" vertical="center"/>
    </xf>
    <xf numFmtId="176" fontId="15" fillId="7" borderId="36" xfId="0" applyNumberFormat="1" applyFont="1" applyFill="1" applyBorder="1" applyAlignment="1">
      <alignment horizontal="center" vertical="center"/>
    </xf>
    <xf numFmtId="176" fontId="15" fillId="0" borderId="36" xfId="3" applyNumberFormat="1" applyFont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7" borderId="0" xfId="0" applyFont="1" applyFill="1">
      <alignment vertical="center"/>
    </xf>
    <xf numFmtId="0" fontId="15" fillId="7" borderId="0" xfId="0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0" fontId="0" fillId="0" borderId="0" xfId="0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 readingOrder="1"/>
    </xf>
    <xf numFmtId="0" fontId="23" fillId="6" borderId="1" xfId="0" applyFont="1" applyFill="1" applyBorder="1" applyAlignment="1">
      <alignment horizontal="center" vertical="center" readingOrder="1"/>
    </xf>
    <xf numFmtId="0" fontId="23" fillId="9" borderId="1" xfId="0" applyFont="1" applyFill="1" applyBorder="1" applyAlignment="1">
      <alignment horizontal="center" vertical="center" readingOrder="1"/>
    </xf>
    <xf numFmtId="0" fontId="23" fillId="0" borderId="1" xfId="0" applyFont="1" applyBorder="1" applyAlignment="1">
      <alignment horizontal="center" vertical="center" wrapText="1" readingOrder="1"/>
    </xf>
    <xf numFmtId="14" fontId="23" fillId="0" borderId="1" xfId="0" applyNumberFormat="1" applyFont="1" applyBorder="1" applyAlignment="1">
      <alignment horizontal="center" vertical="center" wrapText="1" readingOrder="1"/>
    </xf>
    <xf numFmtId="41" fontId="23" fillId="0" borderId="1" xfId="3" applyFont="1" applyFill="1" applyBorder="1" applyAlignment="1">
      <alignment horizontal="right" vertical="center" wrapText="1" readingOrder="1"/>
    </xf>
    <xf numFmtId="41" fontId="23" fillId="0" borderId="1" xfId="3" applyFont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center" vertical="center"/>
    </xf>
    <xf numFmtId="41" fontId="13" fillId="0" borderId="1" xfId="3" applyFont="1" applyBorder="1">
      <alignment vertical="center"/>
    </xf>
    <xf numFmtId="41" fontId="13" fillId="0" borderId="1" xfId="3" applyFont="1" applyBorder="1" applyAlignment="1">
      <alignment horizontal="right" vertical="center" wrapText="1"/>
    </xf>
    <xf numFmtId="41" fontId="23" fillId="0" borderId="1" xfId="3" applyFont="1" applyBorder="1" applyAlignment="1">
      <alignment horizontal="right" vertical="center" readingOrder="1"/>
    </xf>
    <xf numFmtId="0" fontId="24" fillId="0" borderId="1" xfId="0" applyFont="1" applyBorder="1" applyAlignment="1">
      <alignment horizontal="center" vertical="center" wrapText="1" readingOrder="1"/>
    </xf>
    <xf numFmtId="41" fontId="13" fillId="0" borderId="1" xfId="3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wrapText="1" readingOrder="1"/>
    </xf>
    <xf numFmtId="14" fontId="23" fillId="0" borderId="27" xfId="0" applyNumberFormat="1" applyFont="1" applyBorder="1" applyAlignment="1">
      <alignment horizontal="center" vertical="center" wrapText="1" readingOrder="1"/>
    </xf>
    <xf numFmtId="41" fontId="23" fillId="0" borderId="27" xfId="3" applyFont="1" applyBorder="1" applyAlignment="1">
      <alignment horizontal="right" vertical="center" wrapText="1" readingOrder="1"/>
    </xf>
    <xf numFmtId="0" fontId="23" fillId="0" borderId="0" xfId="0" applyFont="1" applyAlignment="1">
      <alignment horizontal="center" vertical="center" wrapText="1" readingOrder="1"/>
    </xf>
    <xf numFmtId="14" fontId="23" fillId="0" borderId="0" xfId="0" applyNumberFormat="1" applyFont="1" applyAlignment="1">
      <alignment horizontal="center" vertical="center" wrapText="1" readingOrder="1"/>
    </xf>
    <xf numFmtId="41" fontId="23" fillId="0" borderId="0" xfId="3" applyFont="1" applyBorder="1" applyAlignment="1">
      <alignment horizontal="right" vertical="center" wrapText="1" readingOrder="1"/>
    </xf>
    <xf numFmtId="14" fontId="25" fillId="0" borderId="1" xfId="0" applyNumberFormat="1" applyFont="1" applyBorder="1" applyAlignment="1">
      <alignment horizontal="center" vertical="center" wrapText="1" readingOrder="1"/>
    </xf>
    <xf numFmtId="14" fontId="25" fillId="0" borderId="1" xfId="0" applyNumberFormat="1" applyFont="1" applyBorder="1" applyAlignment="1">
      <alignment vertical="center" wrapText="1" readingOrder="1"/>
    </xf>
    <xf numFmtId="41" fontId="13" fillId="0" borderId="0" xfId="0" applyNumberFormat="1" applyFont="1">
      <alignment vertical="center"/>
    </xf>
    <xf numFmtId="41" fontId="26" fillId="0" borderId="1" xfId="3" applyFont="1" applyBorder="1" applyAlignment="1">
      <alignment horizontal="right" vertical="center" wrapText="1" readingOrder="1"/>
    </xf>
    <xf numFmtId="14" fontId="1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4" fontId="28" fillId="10" borderId="1" xfId="0" applyNumberFormat="1" applyFont="1" applyFill="1" applyBorder="1" applyAlignment="1">
      <alignment horizontal="center" vertical="center"/>
    </xf>
    <xf numFmtId="14" fontId="28" fillId="10" borderId="1" xfId="0" applyNumberFormat="1" applyFont="1" applyFill="1" applyBorder="1">
      <alignment vertical="center"/>
    </xf>
    <xf numFmtId="41" fontId="23" fillId="10" borderId="1" xfId="3" applyFont="1" applyFill="1" applyBorder="1" applyAlignment="1">
      <alignment horizontal="right" vertical="center" wrapText="1" readingOrder="1"/>
    </xf>
    <xf numFmtId="41" fontId="13" fillId="0" borderId="1" xfId="3" applyFont="1" applyFill="1" applyBorder="1">
      <alignment vertical="center"/>
    </xf>
    <xf numFmtId="0" fontId="19" fillId="3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>
      <alignment vertical="center"/>
    </xf>
    <xf numFmtId="0" fontId="29" fillId="2" borderId="0" xfId="2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left" vertical="center"/>
    </xf>
    <xf numFmtId="0" fontId="19" fillId="4" borderId="3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19" fillId="0" borderId="1" xfId="0" quotePrefix="1" applyFont="1" applyBorder="1" applyAlignment="1">
      <alignment vertical="center" wrapText="1"/>
    </xf>
    <xf numFmtId="0" fontId="9" fillId="0" borderId="12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8" fillId="0" borderId="0" xfId="2" applyFill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4" borderId="16" xfId="2" applyFont="1" applyFill="1" applyBorder="1" applyAlignment="1">
      <alignment vertical="center"/>
    </xf>
    <xf numFmtId="0" fontId="9" fillId="4" borderId="14" xfId="2" applyFont="1" applyFill="1" applyBorder="1" applyAlignment="1">
      <alignment vertical="center"/>
    </xf>
    <xf numFmtId="0" fontId="9" fillId="4" borderId="11" xfId="2" applyFont="1" applyFill="1" applyBorder="1" applyAlignment="1">
      <alignment vertical="center"/>
    </xf>
    <xf numFmtId="0" fontId="9" fillId="4" borderId="15" xfId="2" applyFont="1" applyFill="1" applyBorder="1" applyAlignment="1">
      <alignment vertical="center"/>
    </xf>
    <xf numFmtId="0" fontId="9" fillId="0" borderId="11" xfId="2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9" fillId="0" borderId="11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0" fontId="9" fillId="0" borderId="15" xfId="2" applyFont="1" applyBorder="1" applyAlignment="1">
      <alignment horizontal="left" vertical="center"/>
    </xf>
    <xf numFmtId="0" fontId="9" fillId="4" borderId="28" xfId="2" applyFont="1" applyFill="1" applyBorder="1" applyAlignment="1">
      <alignment vertical="center"/>
    </xf>
    <xf numFmtId="0" fontId="8" fillId="0" borderId="13" xfId="2" applyFill="1" applyBorder="1" applyAlignment="1">
      <alignment horizontal="center" vertical="center" wrapText="1"/>
    </xf>
    <xf numFmtId="0" fontId="8" fillId="0" borderId="10" xfId="2" applyFill="1" applyBorder="1" applyAlignment="1">
      <alignment horizontal="center" vertical="center" wrapText="1"/>
    </xf>
    <xf numFmtId="0" fontId="8" fillId="0" borderId="18" xfId="2" applyFill="1" applyBorder="1" applyAlignment="1">
      <alignment horizontal="center" vertical="center" wrapText="1"/>
    </xf>
    <xf numFmtId="0" fontId="9" fillId="4" borderId="16" xfId="2" applyFont="1" applyFill="1" applyBorder="1" applyAlignment="1">
      <alignment horizontal="left" vertical="center"/>
    </xf>
    <xf numFmtId="0" fontId="9" fillId="4" borderId="14" xfId="2" applyFont="1" applyFill="1" applyBorder="1" applyAlignment="1">
      <alignment horizontal="left" vertical="center"/>
    </xf>
    <xf numFmtId="0" fontId="9" fillId="4" borderId="11" xfId="2" applyFont="1" applyFill="1" applyBorder="1" applyAlignment="1">
      <alignment horizontal="left" vertical="center"/>
    </xf>
    <xf numFmtId="0" fontId="9" fillId="4" borderId="15" xfId="2" applyFont="1" applyFill="1" applyBorder="1" applyAlignment="1">
      <alignment horizontal="left" vertical="center"/>
    </xf>
    <xf numFmtId="0" fontId="9" fillId="0" borderId="11" xfId="2" applyFont="1" applyFill="1" applyBorder="1" applyAlignment="1">
      <alignment horizontal="left" vertical="center"/>
    </xf>
    <xf numFmtId="0" fontId="9" fillId="0" borderId="15" xfId="2" applyFont="1" applyFill="1" applyBorder="1" applyAlignment="1">
      <alignment horizontal="left" vertical="center"/>
    </xf>
    <xf numFmtId="0" fontId="9" fillId="0" borderId="17" xfId="1" applyFont="1" applyBorder="1" applyAlignment="1">
      <alignment horizontal="center" vertical="center"/>
    </xf>
    <xf numFmtId="0" fontId="8" fillId="0" borderId="0" xfId="2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/>
    </xf>
    <xf numFmtId="0" fontId="9" fillId="0" borderId="29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14" fillId="0" borderId="23" xfId="1" applyFont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8" fillId="0" borderId="35" xfId="2" applyFill="1" applyBorder="1" applyAlignment="1">
      <alignment horizontal="center" vertical="center" wrapText="1"/>
    </xf>
    <xf numFmtId="0" fontId="8" fillId="0" borderId="0" xfId="2" applyFill="1" applyBorder="1" applyAlignment="1">
      <alignment horizontal="center" vertical="center" wrapText="1"/>
    </xf>
    <xf numFmtId="0" fontId="8" fillId="0" borderId="39" xfId="2" applyFill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4" borderId="28" xfId="2" applyFont="1" applyFill="1" applyBorder="1" applyAlignment="1">
      <alignment horizontal="left" vertical="center"/>
    </xf>
    <xf numFmtId="0" fontId="12" fillId="0" borderId="32" xfId="2" applyFont="1" applyBorder="1" applyAlignment="1">
      <alignment vertical="center"/>
    </xf>
    <xf numFmtId="0" fontId="12" fillId="0" borderId="33" xfId="2" applyFont="1" applyBorder="1" applyAlignment="1">
      <alignment vertical="center"/>
    </xf>
    <xf numFmtId="0" fontId="8" fillId="0" borderId="0" xfId="2" applyFill="1" applyAlignment="1">
      <alignment horizontal="center" vertical="center"/>
    </xf>
    <xf numFmtId="0" fontId="9" fillId="4" borderId="21" xfId="2" applyFont="1" applyFill="1" applyBorder="1" applyAlignment="1">
      <alignment horizontal="left" vertical="center"/>
    </xf>
    <xf numFmtId="0" fontId="9" fillId="4" borderId="22" xfId="2" applyFont="1" applyFill="1" applyBorder="1" applyAlignment="1">
      <alignment horizontal="left" vertical="center"/>
    </xf>
    <xf numFmtId="0" fontId="12" fillId="0" borderId="19" xfId="2" applyFont="1" applyBorder="1" applyAlignment="1">
      <alignment vertical="center"/>
    </xf>
    <xf numFmtId="0" fontId="12" fillId="0" borderId="20" xfId="2" applyFont="1" applyBorder="1" applyAlignment="1">
      <alignment vertical="center"/>
    </xf>
    <xf numFmtId="0" fontId="8" fillId="0" borderId="13" xfId="2" applyFill="1" applyBorder="1" applyAlignment="1">
      <alignment horizontal="center" vertical="center"/>
    </xf>
    <xf numFmtId="0" fontId="8" fillId="0" borderId="10" xfId="2" applyFill="1" applyBorder="1" applyAlignment="1">
      <alignment horizontal="center" vertical="center"/>
    </xf>
    <xf numFmtId="0" fontId="8" fillId="0" borderId="18" xfId="2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176" fontId="15" fillId="0" borderId="13" xfId="0" applyNumberFormat="1" applyFont="1" applyBorder="1" applyAlignment="1">
      <alignment horizontal="center" vertical="center"/>
    </xf>
    <xf numFmtId="176" fontId="15" fillId="0" borderId="18" xfId="0" applyNumberFormat="1" applyFont="1" applyBorder="1" applyAlignment="1">
      <alignment horizontal="center" vertical="center"/>
    </xf>
  </cellXfs>
  <cellStyles count="4">
    <cellStyle name="쉼표 [0]" xfId="3" builtinId="6"/>
    <cellStyle name="표준" xfId="0" builtinId="0"/>
    <cellStyle name="표준 2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2743200</xdr:colOff>
      <xdr:row>47</xdr:row>
      <xdr:rowOff>85725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2F6F0A5-B12F-C846-A513-01CF10A1A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51781"/>
          <a:ext cx="6422231" cy="5872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2971800</xdr:colOff>
      <xdr:row>45</xdr:row>
      <xdr:rowOff>57150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490ACD-D7AD-9F38-54A0-59F5FF815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11550"/>
          <a:ext cx="6819900" cy="529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11906</xdr:colOff>
          <xdr:row>24</xdr:row>
          <xdr:rowOff>47625</xdr:rowOff>
        </xdr:from>
        <xdr:to>
          <xdr:col>3</xdr:col>
          <xdr:colOff>833438</xdr:colOff>
          <xdr:row>34</xdr:row>
          <xdr:rowOff>57150</xdr:rowOff>
        </xdr:to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00000000-0008-0000-08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사업자번호구분기준!$A$1:$C$10" spid="_x0000_s646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906" y="12180094"/>
              <a:ext cx="4500563" cy="21526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11906</xdr:colOff>
          <xdr:row>35</xdr:row>
          <xdr:rowOff>11906</xdr:rowOff>
        </xdr:from>
        <xdr:to>
          <xdr:col>3</xdr:col>
          <xdr:colOff>2759869</xdr:colOff>
          <xdr:row>62</xdr:row>
          <xdr:rowOff>97630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E3EE925-253C-EB0D-9364-968BEF616E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매출상세!$A$1:$D$17" spid="_x0000_s6464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1906" y="27705844"/>
              <a:ext cx="6426994" cy="587216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11907</xdr:rowOff>
        </xdr:from>
        <xdr:to>
          <xdr:col>3</xdr:col>
          <xdr:colOff>3138488</xdr:colOff>
          <xdr:row>88</xdr:row>
          <xdr:rowOff>69056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D5E5A244-22B7-36A5-3BA0-CF6D80C5EB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매입상세!$A$1:$D$15" spid="_x0000_s6464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0" y="33706595"/>
              <a:ext cx="6817519" cy="541496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15</xdr:row>
      <xdr:rowOff>57150</xdr:rowOff>
    </xdr:from>
    <xdr:to>
      <xdr:col>9</xdr:col>
      <xdr:colOff>361950</xdr:colOff>
      <xdr:row>15</xdr:row>
      <xdr:rowOff>66676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8F2DBE4-7644-44B8-91B7-FB4F3E4AA641}"/>
            </a:ext>
          </a:extLst>
        </xdr:cNvPr>
        <xdr:cNvCxnSpPr/>
      </xdr:nvCxnSpPr>
      <xdr:spPr>
        <a:xfrm>
          <a:off x="1028700" y="3200400"/>
          <a:ext cx="5505450" cy="9526"/>
        </a:xfrm>
        <a:prstGeom prst="line">
          <a:avLst/>
        </a:prstGeom>
        <a:ln w="25400">
          <a:headEnd type="oval"/>
          <a:tail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104773</xdr:colOff>
      <xdr:row>11</xdr:row>
      <xdr:rowOff>85724</xdr:rowOff>
    </xdr:from>
    <xdr:to>
      <xdr:col>9</xdr:col>
      <xdr:colOff>394122</xdr:colOff>
      <xdr:row>15</xdr:row>
      <xdr:rowOff>68249</xdr:rowOff>
    </xdr:to>
    <xdr:sp macro="" textlink="">
      <xdr:nvSpPr>
        <xdr:cNvPr id="3" name="아래로 구부러진 화살표 6">
          <a:extLst>
            <a:ext uri="{FF2B5EF4-FFF2-40B4-BE49-F238E27FC236}">
              <a16:creationId xmlns:a16="http://schemas.microsoft.com/office/drawing/2014/main" id="{D7D15C27-5AAC-492A-A1B5-CA63FA143597}"/>
            </a:ext>
          </a:extLst>
        </xdr:cNvPr>
        <xdr:cNvSpPr/>
      </xdr:nvSpPr>
      <xdr:spPr>
        <a:xfrm flipH="1">
          <a:off x="4219573" y="2390774"/>
          <a:ext cx="2346749" cy="820725"/>
        </a:xfrm>
        <a:prstGeom prst="curvedDownArrow">
          <a:avLst>
            <a:gd name="adj1" fmla="val 13284"/>
            <a:gd name="adj2" fmla="val 43117"/>
            <a:gd name="adj3" fmla="val 275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647699</xdr:colOff>
      <xdr:row>8</xdr:row>
      <xdr:rowOff>76200</xdr:rowOff>
    </xdr:from>
    <xdr:to>
      <xdr:col>8</xdr:col>
      <xdr:colOff>485774</xdr:colOff>
      <xdr:row>10</xdr:row>
      <xdr:rowOff>200025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9F447E-AE73-4431-B643-2B020F2257D9}"/>
            </a:ext>
          </a:extLst>
        </xdr:cNvPr>
        <xdr:cNvSpPr txBox="1"/>
      </xdr:nvSpPr>
      <xdr:spPr>
        <a:xfrm>
          <a:off x="4762499" y="1752600"/>
          <a:ext cx="120967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00">
              <a:latin typeface="+mn-ea"/>
              <a:ea typeface="+mn-ea"/>
            </a:rPr>
            <a:t>최근 </a:t>
          </a:r>
          <a:r>
            <a:rPr lang="en-US" altLang="ko-KR" sz="1000">
              <a:latin typeface="+mn-ea"/>
              <a:ea typeface="+mn-ea"/>
            </a:rPr>
            <a:t>12</a:t>
          </a:r>
          <a:r>
            <a:rPr lang="ko-KR" altLang="en-US" sz="1000">
              <a:latin typeface="+mn-ea"/>
              <a:ea typeface="+mn-ea"/>
            </a:rPr>
            <a:t>개월</a:t>
          </a:r>
          <a:endParaRPr lang="en-US" altLang="ko-KR" sz="1000">
            <a:latin typeface="+mn-ea"/>
            <a:ea typeface="+mn-ea"/>
          </a:endParaRPr>
        </a:p>
        <a:p>
          <a:pPr algn="ctr"/>
          <a:r>
            <a:rPr lang="en-US" altLang="ko-KR" sz="1000">
              <a:latin typeface="+mn-ea"/>
              <a:ea typeface="+mn-ea"/>
            </a:rPr>
            <a:t>C12M</a:t>
          </a:r>
        </a:p>
      </xdr:txBody>
    </xdr:sp>
    <xdr:clientData/>
  </xdr:twoCellAnchor>
  <xdr:twoCellAnchor>
    <xdr:from>
      <xdr:col>2</xdr:col>
      <xdr:colOff>523872</xdr:colOff>
      <xdr:row>11</xdr:row>
      <xdr:rowOff>66674</xdr:rowOff>
    </xdr:from>
    <xdr:to>
      <xdr:col>6</xdr:col>
      <xdr:colOff>333374</xdr:colOff>
      <xdr:row>15</xdr:row>
      <xdr:rowOff>49199</xdr:rowOff>
    </xdr:to>
    <xdr:sp macro="" textlink="">
      <xdr:nvSpPr>
        <xdr:cNvPr id="5" name="아래로 구부러진 화살표 9">
          <a:extLst>
            <a:ext uri="{FF2B5EF4-FFF2-40B4-BE49-F238E27FC236}">
              <a16:creationId xmlns:a16="http://schemas.microsoft.com/office/drawing/2014/main" id="{604BCF83-0F6D-45B1-B624-882B875CFDE2}"/>
            </a:ext>
          </a:extLst>
        </xdr:cNvPr>
        <xdr:cNvSpPr/>
      </xdr:nvSpPr>
      <xdr:spPr>
        <a:xfrm flipH="1">
          <a:off x="1895472" y="2371724"/>
          <a:ext cx="2552702" cy="820725"/>
        </a:xfrm>
        <a:prstGeom prst="curvedDownArrow">
          <a:avLst>
            <a:gd name="adj1" fmla="val 13284"/>
            <a:gd name="adj2" fmla="val 43117"/>
            <a:gd name="adj3" fmla="val 275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666750</xdr:colOff>
      <xdr:row>8</xdr:row>
      <xdr:rowOff>66675</xdr:rowOff>
    </xdr:from>
    <xdr:to>
      <xdr:col>5</xdr:col>
      <xdr:colOff>419100</xdr:colOff>
      <xdr:row>10</xdr:row>
      <xdr:rowOff>180974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AF2417-276D-4626-9918-1D8643A8F47C}"/>
            </a:ext>
          </a:extLst>
        </xdr:cNvPr>
        <xdr:cNvSpPr txBox="1"/>
      </xdr:nvSpPr>
      <xdr:spPr>
        <a:xfrm>
          <a:off x="2724150" y="1743075"/>
          <a:ext cx="1123950" cy="5333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00">
              <a:latin typeface="+mn-ea"/>
              <a:ea typeface="+mn-ea"/>
            </a:rPr>
            <a:t>직전 </a:t>
          </a:r>
          <a:r>
            <a:rPr lang="en-US" altLang="ko-KR" sz="1000">
              <a:latin typeface="+mn-ea"/>
              <a:ea typeface="+mn-ea"/>
            </a:rPr>
            <a:t>12</a:t>
          </a:r>
          <a:r>
            <a:rPr lang="ko-KR" altLang="en-US" sz="1000">
              <a:latin typeface="+mn-ea"/>
              <a:ea typeface="+mn-ea"/>
            </a:rPr>
            <a:t>개월</a:t>
          </a:r>
          <a:endParaRPr lang="en-US" altLang="ko-KR" sz="1000">
            <a:latin typeface="+mn-ea"/>
            <a:ea typeface="+mn-ea"/>
          </a:endParaRPr>
        </a:p>
        <a:p>
          <a:pPr algn="ctr"/>
          <a:r>
            <a:rPr lang="en-US" altLang="ko-KR" sz="1000">
              <a:latin typeface="+mn-ea"/>
              <a:ea typeface="+mn-ea"/>
            </a:rPr>
            <a:t>B12M</a:t>
          </a:r>
        </a:p>
        <a:p>
          <a:pPr algn="ctr"/>
          <a:endParaRPr lang="ko-KR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9526</xdr:colOff>
      <xdr:row>4</xdr:row>
      <xdr:rowOff>152400</xdr:rowOff>
    </xdr:from>
    <xdr:to>
      <xdr:col>3</xdr:col>
      <xdr:colOff>19050</xdr:colOff>
      <xdr:row>19</xdr:row>
      <xdr:rowOff>33150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E3740B02-94D8-47D3-832A-07A91898A609}"/>
            </a:ext>
          </a:extLst>
        </xdr:cNvPr>
        <xdr:cNvCxnSpPr/>
      </xdr:nvCxnSpPr>
      <xdr:spPr>
        <a:xfrm>
          <a:off x="2066926" y="990600"/>
          <a:ext cx="9524" cy="3024000"/>
        </a:xfrm>
        <a:prstGeom prst="line">
          <a:avLst/>
        </a:prstGeom>
        <a:ln w="1587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16</xdr:row>
      <xdr:rowOff>0</xdr:rowOff>
    </xdr:from>
    <xdr:to>
      <xdr:col>3</xdr:col>
      <xdr:colOff>504825</xdr:colOff>
      <xdr:row>17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287D19F-8225-4668-8B9A-4E92E005A6E8}"/>
            </a:ext>
          </a:extLst>
        </xdr:cNvPr>
        <xdr:cNvSpPr txBox="1"/>
      </xdr:nvSpPr>
      <xdr:spPr>
        <a:xfrm>
          <a:off x="1581150" y="3352800"/>
          <a:ext cx="981075" cy="209550"/>
        </a:xfrm>
        <a:prstGeom prst="rect">
          <a:avLst/>
        </a:prstGeom>
        <a:solidFill>
          <a:schemeClr val="bg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>
              <a:latin typeface="+mj-ea"/>
              <a:ea typeface="+mj-ea"/>
            </a:rPr>
            <a:t>2022-04-01</a:t>
          </a:r>
          <a:endParaRPr lang="ko-KR" altLang="en-US" sz="10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285750</xdr:colOff>
      <xdr:row>5</xdr:row>
      <xdr:rowOff>0</xdr:rowOff>
    </xdr:from>
    <xdr:to>
      <xdr:col>6</xdr:col>
      <xdr:colOff>285750</xdr:colOff>
      <xdr:row>19</xdr:row>
      <xdr:rowOff>18300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28D604EB-7D03-4C14-B6BA-E2AEE4498200}"/>
            </a:ext>
          </a:extLst>
        </xdr:cNvPr>
        <xdr:cNvCxnSpPr/>
      </xdr:nvCxnSpPr>
      <xdr:spPr>
        <a:xfrm flipH="1">
          <a:off x="4400550" y="1047750"/>
          <a:ext cx="0" cy="2952000"/>
        </a:xfrm>
        <a:prstGeom prst="line">
          <a:avLst/>
        </a:prstGeom>
        <a:ln w="1587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5</xdr:row>
      <xdr:rowOff>0</xdr:rowOff>
    </xdr:from>
    <xdr:to>
      <xdr:col>9</xdr:col>
      <xdr:colOff>371475</xdr:colOff>
      <xdr:row>18</xdr:row>
      <xdr:rowOff>11850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FB111D8B-CBFB-416B-8378-660ACBA659F7}"/>
            </a:ext>
          </a:extLst>
        </xdr:cNvPr>
        <xdr:cNvCxnSpPr/>
      </xdr:nvCxnSpPr>
      <xdr:spPr>
        <a:xfrm flipH="1">
          <a:off x="6543675" y="1047750"/>
          <a:ext cx="0" cy="2736000"/>
        </a:xfrm>
        <a:prstGeom prst="line">
          <a:avLst/>
        </a:prstGeom>
        <a:ln w="1587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16</xdr:row>
      <xdr:rowOff>0</xdr:rowOff>
    </xdr:from>
    <xdr:to>
      <xdr:col>7</xdr:col>
      <xdr:colOff>133350</xdr:colOff>
      <xdr:row>17</xdr:row>
      <xdr:rowOff>19050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1233FE-4B8F-412A-8E4A-D828C0A6A124}"/>
            </a:ext>
          </a:extLst>
        </xdr:cNvPr>
        <xdr:cNvSpPr txBox="1"/>
      </xdr:nvSpPr>
      <xdr:spPr>
        <a:xfrm>
          <a:off x="3848100" y="3352800"/>
          <a:ext cx="1085850" cy="228600"/>
        </a:xfrm>
        <a:prstGeom prst="rect">
          <a:avLst/>
        </a:prstGeom>
        <a:solidFill>
          <a:schemeClr val="bg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>
              <a:latin typeface="+mj-ea"/>
              <a:ea typeface="+mj-ea"/>
            </a:rPr>
            <a:t>2023-04-01</a:t>
          </a:r>
          <a:endParaRPr lang="ko-KR" altLang="en-US" sz="10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190497</xdr:colOff>
      <xdr:row>11</xdr:row>
      <xdr:rowOff>171450</xdr:rowOff>
    </xdr:from>
    <xdr:to>
      <xdr:col>3</xdr:col>
      <xdr:colOff>28575</xdr:colOff>
      <xdr:row>15</xdr:row>
      <xdr:rowOff>11099</xdr:rowOff>
    </xdr:to>
    <xdr:sp macro="" textlink="">
      <xdr:nvSpPr>
        <xdr:cNvPr id="12" name="아래로 구부러진 화살표 19">
          <a:extLst>
            <a:ext uri="{FF2B5EF4-FFF2-40B4-BE49-F238E27FC236}">
              <a16:creationId xmlns:a16="http://schemas.microsoft.com/office/drawing/2014/main" id="{1AEC119F-16B7-43C5-9829-4F60D6A1B919}"/>
            </a:ext>
          </a:extLst>
        </xdr:cNvPr>
        <xdr:cNvSpPr/>
      </xdr:nvSpPr>
      <xdr:spPr>
        <a:xfrm flipH="1">
          <a:off x="876297" y="2476500"/>
          <a:ext cx="1209678" cy="677849"/>
        </a:xfrm>
        <a:prstGeom prst="curvedDownArrow">
          <a:avLst>
            <a:gd name="adj1" fmla="val 13284"/>
            <a:gd name="adj2" fmla="val 43117"/>
            <a:gd name="adj3" fmla="val 2756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514350</xdr:colOff>
      <xdr:row>16</xdr:row>
      <xdr:rowOff>0</xdr:rowOff>
    </xdr:from>
    <xdr:to>
      <xdr:col>10</xdr:col>
      <xdr:colOff>114300</xdr:colOff>
      <xdr:row>17</xdr:row>
      <xdr:rowOff>9525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CA4118D-AA90-47FC-BEF6-10C6FFA6A855}"/>
            </a:ext>
          </a:extLst>
        </xdr:cNvPr>
        <xdr:cNvSpPr txBox="1"/>
      </xdr:nvSpPr>
      <xdr:spPr>
        <a:xfrm>
          <a:off x="6000750" y="3352800"/>
          <a:ext cx="971550" cy="219075"/>
        </a:xfrm>
        <a:prstGeom prst="rect">
          <a:avLst/>
        </a:prstGeom>
        <a:solidFill>
          <a:schemeClr val="bg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>
              <a:latin typeface="+mj-ea"/>
              <a:ea typeface="+mj-ea"/>
            </a:rPr>
            <a:t>2024-03-31</a:t>
          </a:r>
          <a:endParaRPr lang="ko-KR" altLang="en-US" sz="1000">
            <a:latin typeface="+mj-ea"/>
            <a:ea typeface="+mj-ea"/>
          </a:endParaRPr>
        </a:p>
      </xdr:txBody>
    </xdr:sp>
    <xdr:clientData/>
  </xdr:twoCellAnchor>
  <xdr:twoCellAnchor>
    <xdr:from>
      <xdr:col>0</xdr:col>
      <xdr:colOff>476250</xdr:colOff>
      <xdr:row>16</xdr:row>
      <xdr:rowOff>0</xdr:rowOff>
    </xdr:from>
    <xdr:to>
      <xdr:col>1</xdr:col>
      <xdr:colOff>676275</xdr:colOff>
      <xdr:row>17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FD8F2-EF89-4771-8148-ACDC379D74B4}"/>
            </a:ext>
          </a:extLst>
        </xdr:cNvPr>
        <xdr:cNvSpPr txBox="1"/>
      </xdr:nvSpPr>
      <xdr:spPr>
        <a:xfrm>
          <a:off x="476250" y="3352800"/>
          <a:ext cx="885825" cy="209550"/>
        </a:xfrm>
        <a:prstGeom prst="rect">
          <a:avLst/>
        </a:prstGeom>
        <a:solidFill>
          <a:schemeClr val="bg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>
              <a:latin typeface="+mj-ea"/>
              <a:ea typeface="+mj-ea"/>
            </a:rPr>
            <a:t>2022-01-01</a:t>
          </a:r>
          <a:endParaRPr lang="ko-KR" altLang="en-US" sz="1000"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666750</xdr:colOff>
      <xdr:row>7</xdr:row>
      <xdr:rowOff>171450</xdr:rowOff>
    </xdr:from>
    <xdr:to>
      <xdr:col>9</xdr:col>
      <xdr:colOff>402150</xdr:colOff>
      <xdr:row>7</xdr:row>
      <xdr:rowOff>171450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6A43B0D4-F85C-4685-AB40-607132C493CD}"/>
            </a:ext>
          </a:extLst>
        </xdr:cNvPr>
        <xdr:cNvCxnSpPr/>
      </xdr:nvCxnSpPr>
      <xdr:spPr>
        <a:xfrm flipV="1">
          <a:off x="2038350" y="1638300"/>
          <a:ext cx="4536000" cy="0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400050</xdr:colOff>
      <xdr:row>7</xdr:row>
      <xdr:rowOff>161925</xdr:rowOff>
    </xdr:from>
    <xdr:to>
      <xdr:col>2</xdr:col>
      <xdr:colOff>684450</xdr:colOff>
      <xdr:row>7</xdr:row>
      <xdr:rowOff>161925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CA376A52-2D2B-4FE2-9B44-F20D25226EAB}"/>
            </a:ext>
          </a:extLst>
        </xdr:cNvPr>
        <xdr:cNvCxnSpPr/>
      </xdr:nvCxnSpPr>
      <xdr:spPr>
        <a:xfrm flipV="1">
          <a:off x="400050" y="1628775"/>
          <a:ext cx="1656000" cy="0"/>
        </a:xfrm>
        <a:prstGeom prst="straightConnector1">
          <a:avLst/>
        </a:prstGeom>
        <a:ln w="19050">
          <a:solidFill>
            <a:srgbClr val="FF0000"/>
          </a:solidFill>
          <a:prstDash val="sysDot"/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5</xdr:row>
      <xdr:rowOff>0</xdr:rowOff>
    </xdr:from>
    <xdr:to>
      <xdr:col>8</xdr:col>
      <xdr:colOff>238125</xdr:colOff>
      <xdr:row>6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F2B5BA8-676D-444C-B458-04105BA71AB8}"/>
            </a:ext>
          </a:extLst>
        </xdr:cNvPr>
        <xdr:cNvSpPr txBox="1"/>
      </xdr:nvSpPr>
      <xdr:spPr>
        <a:xfrm>
          <a:off x="3105150" y="1047750"/>
          <a:ext cx="2619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00"/>
            <a:t>회수기간</a:t>
          </a:r>
          <a:r>
            <a:rPr lang="ko-KR" altLang="en-US" sz="1000" baseline="0"/>
            <a:t> 포함 구간 </a:t>
          </a:r>
          <a:endParaRPr lang="ko-KR" altLang="en-US" sz="1000"/>
        </a:p>
      </xdr:txBody>
    </xdr:sp>
    <xdr:clientData/>
  </xdr:twoCellAnchor>
  <xdr:twoCellAnchor>
    <xdr:from>
      <xdr:col>0</xdr:col>
      <xdr:colOff>352425</xdr:colOff>
      <xdr:row>5</xdr:row>
      <xdr:rowOff>0</xdr:rowOff>
    </xdr:from>
    <xdr:to>
      <xdr:col>2</xdr:col>
      <xdr:colOff>609600</xdr:colOff>
      <xdr:row>6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291F1EE-F629-4F9E-9FF4-1D3B8AA4F15E}"/>
            </a:ext>
          </a:extLst>
        </xdr:cNvPr>
        <xdr:cNvSpPr txBox="1"/>
      </xdr:nvSpPr>
      <xdr:spPr>
        <a:xfrm>
          <a:off x="352425" y="1047750"/>
          <a:ext cx="16287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50"/>
            <a:t>회수기간</a:t>
          </a:r>
          <a:r>
            <a:rPr lang="ko-KR" altLang="en-US" sz="1050" baseline="0"/>
            <a:t> 미포함 구간 </a:t>
          </a:r>
          <a:endParaRPr lang="ko-KR" altLang="en-US" sz="105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209551</xdr:colOff>
      <xdr:row>5</xdr:row>
      <xdr:rowOff>133350</xdr:rowOff>
    </xdr:from>
    <xdr:to>
      <xdr:col>3</xdr:col>
      <xdr:colOff>752474</xdr:colOff>
      <xdr:row>8</xdr:row>
      <xdr:rowOff>200025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BC40C7D-81A6-45EE-99EE-EE3F2E9BF04C}"/>
            </a:ext>
          </a:extLst>
        </xdr:cNvPr>
        <xdr:cNvGrpSpPr/>
      </xdr:nvGrpSpPr>
      <xdr:grpSpPr>
        <a:xfrm>
          <a:off x="209551" y="1181100"/>
          <a:ext cx="3657598" cy="695325"/>
          <a:chOff x="247651" y="1219200"/>
          <a:chExt cx="3657598" cy="695325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A35BDEC2-966A-EA1A-D3D8-39F7D3F801FB}"/>
              </a:ext>
            </a:extLst>
          </xdr:cNvPr>
          <xdr:cNvSpPr/>
        </xdr:nvSpPr>
        <xdr:spPr>
          <a:xfrm>
            <a:off x="276224" y="1562100"/>
            <a:ext cx="3629025" cy="35242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lang="ko-KR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차변</a:t>
            </a: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) </a:t>
            </a:r>
            <a:r>
              <a:rPr lang="ko-KR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외상매출금 </a:t>
            </a: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1,000,000 / (</a:t>
            </a:r>
            <a:r>
              <a:rPr lang="ko-KR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대변</a:t>
            </a: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) </a:t>
            </a:r>
            <a:r>
              <a:rPr lang="ko-KR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매출액 </a:t>
            </a: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1,000,000</a:t>
            </a:r>
            <a:endParaRPr lang="ko-KR" altLang="ko-KR" sz="1000" b="1">
              <a:effectLst/>
              <a:latin typeface="+mn-ea"/>
              <a:ea typeface="+mn-ea"/>
            </a:endParaRPr>
          </a:p>
          <a:p>
            <a:pPr algn="ctr"/>
            <a:endParaRPr lang="ko-KR" altLang="en-US" sz="1000" b="1">
              <a:latin typeface="+mn-ea"/>
              <a:ea typeface="+mn-ea"/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E4E034A-6AE9-4F42-EAEB-ADF3AA9A958A}"/>
              </a:ext>
            </a:extLst>
          </xdr:cNvPr>
          <xdr:cNvSpPr txBox="1"/>
        </xdr:nvSpPr>
        <xdr:spPr>
          <a:xfrm>
            <a:off x="247651" y="1219200"/>
            <a:ext cx="800100" cy="2571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/>
              <a:t>발생</a:t>
            </a:r>
          </a:p>
        </xdr:txBody>
      </xdr:sp>
    </xdr:grpSp>
    <xdr:clientData/>
  </xdr:twoCellAnchor>
  <xdr:twoCellAnchor>
    <xdr:from>
      <xdr:col>3</xdr:col>
      <xdr:colOff>1047751</xdr:colOff>
      <xdr:row>5</xdr:row>
      <xdr:rowOff>114300</xdr:rowOff>
    </xdr:from>
    <xdr:to>
      <xdr:col>8</xdr:col>
      <xdr:colOff>95249</xdr:colOff>
      <xdr:row>8</xdr:row>
      <xdr:rowOff>180975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5A5655F8-C11E-4272-AB59-58610099557D}"/>
            </a:ext>
          </a:extLst>
        </xdr:cNvPr>
        <xdr:cNvGrpSpPr/>
      </xdr:nvGrpSpPr>
      <xdr:grpSpPr>
        <a:xfrm>
          <a:off x="4162426" y="1162050"/>
          <a:ext cx="3657598" cy="695325"/>
          <a:chOff x="247651" y="1219200"/>
          <a:chExt cx="3657598" cy="695325"/>
        </a:xfrm>
      </xdr:grpSpPr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FD84536-F82F-5E56-FB93-0AD3F571D0F3}"/>
              </a:ext>
            </a:extLst>
          </xdr:cNvPr>
          <xdr:cNvSpPr/>
        </xdr:nvSpPr>
        <xdr:spPr>
          <a:xfrm>
            <a:off x="276224" y="1562100"/>
            <a:ext cx="3629025" cy="35242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(</a:t>
            </a:r>
            <a:r>
              <a:rPr lang="ko-KR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차변</a:t>
            </a: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) </a:t>
            </a:r>
            <a:r>
              <a:rPr lang="ko-KR" altLang="en-US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현금 </a:t>
            </a: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1,000,000 / (</a:t>
            </a:r>
            <a:r>
              <a:rPr lang="ko-KR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대변</a:t>
            </a: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) </a:t>
            </a:r>
            <a:r>
              <a:rPr lang="ko-KR" altLang="en-US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외상매출금</a:t>
            </a:r>
            <a:r>
              <a:rPr lang="ko-KR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 </a:t>
            </a:r>
            <a:r>
              <a:rPr lang="en-US" altLang="ko-KR" sz="1000" b="1">
                <a:solidFill>
                  <a:schemeClr val="lt1"/>
                </a:solidFill>
                <a:effectLst/>
                <a:latin typeface="+mn-ea"/>
                <a:ea typeface="+mn-ea"/>
                <a:cs typeface="+mn-cs"/>
              </a:rPr>
              <a:t>1,000,000</a:t>
            </a:r>
            <a:endParaRPr lang="ko-KR" altLang="ko-KR" sz="1000" b="1">
              <a:effectLst/>
              <a:latin typeface="+mn-ea"/>
              <a:ea typeface="+mn-ea"/>
            </a:endParaRPr>
          </a:p>
          <a:p>
            <a:pPr algn="ctr"/>
            <a:endParaRPr lang="ko-KR" altLang="en-US" sz="1000" b="1">
              <a:latin typeface="+mn-ea"/>
              <a:ea typeface="+mn-ea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8448651-B5A1-5744-F134-302150F61147}"/>
              </a:ext>
            </a:extLst>
          </xdr:cNvPr>
          <xdr:cNvSpPr txBox="1"/>
        </xdr:nvSpPr>
        <xdr:spPr>
          <a:xfrm>
            <a:off x="247651" y="1219200"/>
            <a:ext cx="800100" cy="2571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100"/>
              <a:t>회수</a:t>
            </a:r>
          </a:p>
        </xdr:txBody>
      </xdr:sp>
    </xdr:grpSp>
    <xdr:clientData/>
  </xdr:twoCellAnchor>
  <xdr:twoCellAnchor>
    <xdr:from>
      <xdr:col>0</xdr:col>
      <xdr:colOff>180975</xdr:colOff>
      <xdr:row>18</xdr:row>
      <xdr:rowOff>152400</xdr:rowOff>
    </xdr:from>
    <xdr:to>
      <xdr:col>9</xdr:col>
      <xdr:colOff>371475</xdr:colOff>
      <xdr:row>20</xdr:row>
      <xdr:rowOff>104775</xdr:rowOff>
    </xdr:to>
    <xdr:sp macro="" textlink="">
      <xdr:nvSpPr>
        <xdr:cNvPr id="8" name="말풍선: 사각형 7" descr="발생키 1에 해당하는 전년도 미회수 채권과 발생키 2와 3에 해당하는 2022년 4월 전 발생된 채권도 기간 산정에 포함함">
          <a:extLst>
            <a:ext uri="{FF2B5EF4-FFF2-40B4-BE49-F238E27FC236}">
              <a16:creationId xmlns:a16="http://schemas.microsoft.com/office/drawing/2014/main" id="{EEBDE619-5C61-4140-A614-5A39E553517B}"/>
            </a:ext>
          </a:extLst>
        </xdr:cNvPr>
        <xdr:cNvSpPr/>
      </xdr:nvSpPr>
      <xdr:spPr>
        <a:xfrm>
          <a:off x="180975" y="3924300"/>
          <a:ext cx="8782050" cy="371475"/>
        </a:xfrm>
        <a:prstGeom prst="wedgeRectCallout">
          <a:avLst>
            <a:gd name="adj1" fmla="val -26906"/>
            <a:gd name="adj2" fmla="val 30770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2024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년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3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월로부터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24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개월전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(2022</a:t>
          </a:r>
          <a:r>
            <a:rPr lang="ko-KR" altLang="en-US" sz="1000" b="1" baseline="0">
              <a:solidFill>
                <a:schemeClr val="bg1"/>
              </a:solidFill>
              <a:latin typeface="+mn-ea"/>
              <a:ea typeface="+mn-ea"/>
            </a:rPr>
            <a:t>년 </a:t>
          </a:r>
          <a:r>
            <a:rPr lang="en-US" altLang="ko-KR" sz="1000" b="1" baseline="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lang="ko-KR" altLang="en-US" sz="1000" b="1" baseline="0">
              <a:solidFill>
                <a:schemeClr val="bg1"/>
              </a:solidFill>
              <a:latin typeface="+mn-ea"/>
              <a:ea typeface="+mn-ea"/>
            </a:rPr>
            <a:t>월</a:t>
          </a:r>
          <a:r>
            <a:rPr lang="en-US" altLang="ko-KR" sz="1000" b="1" baseline="0">
              <a:solidFill>
                <a:schemeClr val="bg1"/>
              </a:solidFill>
              <a:latin typeface="+mn-ea"/>
              <a:ea typeface="+mn-ea"/>
            </a:rPr>
            <a:t>)</a:t>
          </a:r>
          <a:r>
            <a:rPr lang="ko-KR" altLang="en-US" sz="1000" b="1" baseline="0">
              <a:solidFill>
                <a:schemeClr val="bg1"/>
              </a:solidFill>
              <a:latin typeface="+mn-ea"/>
              <a:ea typeface="+mn-ea"/>
            </a:rPr>
            <a:t>이 속한 기수의 시작월</a:t>
          </a:r>
          <a:r>
            <a:rPr lang="en-US" altLang="ko-KR" sz="1000" b="1" baseline="0">
              <a:solidFill>
                <a:schemeClr val="bg1"/>
              </a:solidFill>
              <a:latin typeface="+mn-ea"/>
              <a:ea typeface="+mn-ea"/>
            </a:rPr>
            <a:t>(2022</a:t>
          </a:r>
          <a:r>
            <a:rPr lang="ko-KR" altLang="en-US" sz="1000" b="1" baseline="0">
              <a:solidFill>
                <a:schemeClr val="bg1"/>
              </a:solidFill>
              <a:latin typeface="+mn-ea"/>
              <a:ea typeface="+mn-ea"/>
            </a:rPr>
            <a:t>년 </a:t>
          </a:r>
          <a:r>
            <a:rPr lang="en-US" altLang="ko-KR" sz="1000" b="1" baseline="0">
              <a:solidFill>
                <a:schemeClr val="bg1"/>
              </a:solidFill>
              <a:latin typeface="+mn-ea"/>
              <a:ea typeface="+mn-ea"/>
            </a:rPr>
            <a:t>1</a:t>
          </a:r>
          <a:r>
            <a:rPr lang="ko-KR" altLang="en-US" sz="1000" b="1" baseline="0">
              <a:solidFill>
                <a:schemeClr val="bg1"/>
              </a:solidFill>
              <a:latin typeface="+mn-ea"/>
              <a:ea typeface="+mn-ea"/>
            </a:rPr>
            <a:t>월</a:t>
          </a:r>
          <a:r>
            <a:rPr lang="en-US" altLang="ko-KR" sz="1000" b="1" baseline="0">
              <a:solidFill>
                <a:schemeClr val="bg1"/>
              </a:solidFill>
              <a:latin typeface="+mn-ea"/>
              <a:ea typeface="+mn-ea"/>
            </a:rPr>
            <a:t>)</a:t>
          </a:r>
          <a:r>
            <a:rPr lang="ko-KR" altLang="en-US" sz="1000" b="1" baseline="0">
              <a:solidFill>
                <a:schemeClr val="bg1"/>
              </a:solidFill>
              <a:latin typeface="+mn-ea"/>
              <a:ea typeface="+mn-ea"/>
            </a:rPr>
            <a:t>까지를 기간 단위로 설정함</a:t>
          </a:r>
          <a:endParaRPr lang="ko-KR" altLang="en-US" sz="10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704850</xdr:colOff>
      <xdr:row>17</xdr:row>
      <xdr:rowOff>133349</xdr:rowOff>
    </xdr:from>
    <xdr:to>
      <xdr:col>17</xdr:col>
      <xdr:colOff>209550</xdr:colOff>
      <xdr:row>20</xdr:row>
      <xdr:rowOff>116699</xdr:rowOff>
    </xdr:to>
    <xdr:sp macro="" textlink="">
      <xdr:nvSpPr>
        <xdr:cNvPr id="9" name="말풍선: 사각형 8" descr="발생키 1에 해당하는 전년도 미회수 채권과 발생키 2와 3에 해당하는 2022년 4월 전 발생된 채권도 기간 산정에 포함함">
          <a:extLst>
            <a:ext uri="{FF2B5EF4-FFF2-40B4-BE49-F238E27FC236}">
              <a16:creationId xmlns:a16="http://schemas.microsoft.com/office/drawing/2014/main" id="{F281D26D-8375-47B4-8FF6-D434FE8873BE}"/>
            </a:ext>
          </a:extLst>
        </xdr:cNvPr>
        <xdr:cNvSpPr/>
      </xdr:nvSpPr>
      <xdr:spPr>
        <a:xfrm>
          <a:off x="9296400" y="3695699"/>
          <a:ext cx="5495925" cy="612000"/>
        </a:xfrm>
        <a:prstGeom prst="wedgeRectCallout">
          <a:avLst>
            <a:gd name="adj1" fmla="val -16509"/>
            <a:gd name="adj2" fmla="val 41105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선입선출법에 따라 </a:t>
          </a:r>
          <a:r>
            <a:rPr lang="ko-KR" altLang="en-US" sz="1000" b="1">
              <a:solidFill>
                <a:schemeClr val="tx1"/>
              </a:solidFill>
              <a:latin typeface="+mn-ea"/>
              <a:ea typeface="+mn-ea"/>
            </a:rPr>
            <a:t>전기 미회수 채권인 </a:t>
          </a:r>
          <a:r>
            <a:rPr lang="en-US" altLang="ko-KR" sz="1000" b="1">
              <a:solidFill>
                <a:schemeClr val="tx1"/>
              </a:solidFill>
              <a:latin typeface="+mn-ea"/>
              <a:ea typeface="+mn-ea"/>
            </a:rPr>
            <a:t>1,000,000 [</a:t>
          </a:r>
          <a:r>
            <a:rPr lang="ko-KR" altLang="en-US" sz="1000" b="1">
              <a:solidFill>
                <a:schemeClr val="tx1"/>
              </a:solidFill>
              <a:latin typeface="+mn-ea"/>
              <a:ea typeface="+mn-ea"/>
            </a:rPr>
            <a:t>발생키 </a:t>
          </a:r>
          <a:r>
            <a:rPr lang="en-US" altLang="ko-KR" sz="1000" b="1">
              <a:solidFill>
                <a:schemeClr val="tx1"/>
              </a:solidFill>
              <a:latin typeface="+mn-ea"/>
              <a:ea typeface="+mn-ea"/>
            </a:rPr>
            <a:t>1] 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이 먼저 회수되었다고 계산함</a:t>
          </a:r>
          <a:endParaRPr lang="en-US" altLang="ko-KR" sz="1000" b="1">
            <a:solidFill>
              <a:schemeClr val="bg1"/>
            </a:solidFill>
            <a:latin typeface="+mn-ea"/>
            <a:ea typeface="+mn-ea"/>
          </a:endParaRPr>
        </a:p>
        <a:p>
          <a:pPr algn="l"/>
          <a:r>
            <a:rPr lang="ko-KR" altLang="en-US" sz="1000" b="1">
              <a:solidFill>
                <a:schemeClr val="tx1"/>
              </a:solidFill>
              <a:latin typeface="+mn-ea"/>
              <a:ea typeface="+mn-ea"/>
            </a:rPr>
            <a:t>전기 미회수 채권은 회수기간</a:t>
          </a:r>
          <a:r>
            <a:rPr lang="ko-KR" altLang="en-US" sz="1000" b="1" baseline="0">
              <a:solidFill>
                <a:schemeClr val="tx1"/>
              </a:solidFill>
              <a:latin typeface="+mn-ea"/>
              <a:ea typeface="+mn-ea"/>
            </a:rPr>
            <a:t> 산정에서 제외함 </a:t>
          </a:r>
          <a:endParaRPr lang="ko-KR" altLang="en-US" sz="10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200025</xdr:colOff>
      <xdr:row>33</xdr:row>
      <xdr:rowOff>190499</xdr:rowOff>
    </xdr:from>
    <xdr:to>
      <xdr:col>20</xdr:col>
      <xdr:colOff>447675</xdr:colOff>
      <xdr:row>36</xdr:row>
      <xdr:rowOff>173849</xdr:rowOff>
    </xdr:to>
    <xdr:sp macro="" textlink="">
      <xdr:nvSpPr>
        <xdr:cNvPr id="10" name="말풍선: 사각형 9" descr="발생키 1에 해당하는 전년도 미회수 채권과 발생키 2와 3에 해당하는 2022년 4월 전 발생된 채권도 기간 산정에 포함함">
          <a:extLst>
            <a:ext uri="{FF2B5EF4-FFF2-40B4-BE49-F238E27FC236}">
              <a16:creationId xmlns:a16="http://schemas.microsoft.com/office/drawing/2014/main" id="{035D5672-5F6A-45EE-A7E0-EEA3B413D7FD}"/>
            </a:ext>
          </a:extLst>
        </xdr:cNvPr>
        <xdr:cNvSpPr/>
      </xdr:nvSpPr>
      <xdr:spPr>
        <a:xfrm>
          <a:off x="11591925" y="7105649"/>
          <a:ext cx="5495925" cy="612000"/>
        </a:xfrm>
        <a:prstGeom prst="wedgeRectCallout">
          <a:avLst>
            <a:gd name="adj1" fmla="val -10789"/>
            <a:gd name="adj2" fmla="val 17759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2022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년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7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월이 되어서야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22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년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2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월에 발생된 채권 </a:t>
          </a:r>
          <a:r>
            <a:rPr lang="en-US" altLang="ko-KR" sz="1000" b="1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[</a:t>
          </a:r>
          <a:r>
            <a:rPr lang="ko-KR" altLang="ko-KR" sz="1000" b="1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발생키 </a:t>
          </a:r>
          <a:r>
            <a:rPr lang="en-US" altLang="ko-KR" sz="1000" b="1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2] 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이 회수됨</a:t>
          </a:r>
          <a:endParaRPr lang="en-US" altLang="ko-KR" sz="1000" b="1">
            <a:solidFill>
              <a:schemeClr val="bg1"/>
            </a:solidFill>
            <a:latin typeface="+mn-ea"/>
            <a:ea typeface="+mn-ea"/>
          </a:endParaRPr>
        </a:p>
        <a:p>
          <a:pPr algn="l"/>
          <a:r>
            <a:rPr lang="en-US" altLang="ko-KR" sz="1000" b="1">
              <a:solidFill>
                <a:schemeClr val="tx1"/>
              </a:solidFill>
              <a:latin typeface="+mn-ea"/>
              <a:ea typeface="+mn-ea"/>
            </a:rPr>
            <a:t>22</a:t>
          </a:r>
          <a:r>
            <a:rPr lang="ko-KR" altLang="en-US" sz="1000" b="1">
              <a:solidFill>
                <a:schemeClr val="tx1"/>
              </a:solidFill>
              <a:latin typeface="+mn-ea"/>
              <a:ea typeface="+mn-ea"/>
            </a:rPr>
            <a:t>년 </a:t>
          </a:r>
          <a:r>
            <a:rPr lang="en-US" altLang="ko-KR" sz="1000" b="1">
              <a:solidFill>
                <a:schemeClr val="tx1"/>
              </a:solidFill>
              <a:latin typeface="+mn-ea"/>
              <a:ea typeface="+mn-ea"/>
            </a:rPr>
            <a:t>2</a:t>
          </a:r>
          <a:r>
            <a:rPr lang="ko-KR" altLang="en-US" sz="1000" b="1">
              <a:solidFill>
                <a:schemeClr val="tx1"/>
              </a:solidFill>
              <a:latin typeface="+mn-ea"/>
              <a:ea typeface="+mn-ea"/>
            </a:rPr>
            <a:t>월은 </a:t>
          </a:r>
          <a:r>
            <a:rPr lang="en-US" altLang="ko-KR" sz="1000" b="1">
              <a:solidFill>
                <a:schemeClr val="tx1"/>
              </a:solidFill>
              <a:latin typeface="+mn-ea"/>
              <a:ea typeface="+mn-ea"/>
            </a:rPr>
            <a:t>22</a:t>
          </a:r>
          <a:r>
            <a:rPr lang="ko-KR" altLang="en-US" sz="1000" b="1">
              <a:solidFill>
                <a:schemeClr val="tx1"/>
              </a:solidFill>
              <a:latin typeface="+mn-ea"/>
              <a:ea typeface="+mn-ea"/>
            </a:rPr>
            <a:t>년 </a:t>
          </a:r>
          <a:r>
            <a:rPr lang="en-US" altLang="ko-KR" sz="1000" b="1">
              <a:solidFill>
                <a:schemeClr val="tx1"/>
              </a:solidFill>
              <a:latin typeface="+mn-ea"/>
              <a:ea typeface="+mn-ea"/>
            </a:rPr>
            <a:t>4</a:t>
          </a:r>
          <a:r>
            <a:rPr lang="ko-KR" altLang="en-US" sz="1000" b="1">
              <a:solidFill>
                <a:schemeClr val="tx1"/>
              </a:solidFill>
              <a:latin typeface="+mn-ea"/>
              <a:ea typeface="+mn-ea"/>
            </a:rPr>
            <a:t>월전에 발생된 채권이나 회수기간 산정에 포함함  </a:t>
          </a:r>
        </a:p>
      </xdr:txBody>
    </xdr:sp>
    <xdr:clientData/>
  </xdr:twoCellAnchor>
  <xdr:twoCellAnchor>
    <xdr:from>
      <xdr:col>0</xdr:col>
      <xdr:colOff>19051</xdr:colOff>
      <xdr:row>22</xdr:row>
      <xdr:rowOff>200025</xdr:rowOff>
    </xdr:from>
    <xdr:to>
      <xdr:col>9</xdr:col>
      <xdr:colOff>419100</xdr:colOff>
      <xdr:row>31</xdr:row>
      <xdr:rowOff>161925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934ED4A9-A3A9-4C49-8BBE-8D76CD5C1F99}"/>
            </a:ext>
          </a:extLst>
        </xdr:cNvPr>
        <xdr:cNvGrpSpPr/>
      </xdr:nvGrpSpPr>
      <xdr:grpSpPr>
        <a:xfrm>
          <a:off x="19051" y="4810125"/>
          <a:ext cx="8991599" cy="1847850"/>
          <a:chOff x="19051" y="4391025"/>
          <a:chExt cx="8620124" cy="1847850"/>
        </a:xfrm>
      </xdr:grpSpPr>
      <xdr:sp macro="" textlink="">
        <xdr:nvSpPr>
          <xdr:cNvPr id="12" name="말풍선: 사각형 11" descr="발생키 1에 해당하는 전년도 미회수 채권과 발생키 2와 3에 해당하는 2022년 4월 전 발생된 채권도 기간 산정에 포함함">
            <a:extLst>
              <a:ext uri="{FF2B5EF4-FFF2-40B4-BE49-F238E27FC236}">
                <a16:creationId xmlns:a16="http://schemas.microsoft.com/office/drawing/2014/main" id="{6699E3CF-E99A-2B38-3BC5-1A64FE287C1E}"/>
              </a:ext>
            </a:extLst>
          </xdr:cNvPr>
          <xdr:cNvSpPr/>
        </xdr:nvSpPr>
        <xdr:spPr>
          <a:xfrm>
            <a:off x="228600" y="5867400"/>
            <a:ext cx="8410575" cy="371475"/>
          </a:xfrm>
          <a:prstGeom prst="wedgeRectCallout">
            <a:avLst>
              <a:gd name="adj1" fmla="val -31436"/>
              <a:gd name="adj2" fmla="val -38462"/>
            </a:avLst>
          </a:prstGeom>
          <a:solidFill>
            <a:schemeClr val="accent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[</a:t>
            </a:r>
            <a:r>
              <a:rPr lang="ko-KR" altLang="en-US" sz="1000" b="1">
                <a:solidFill>
                  <a:schemeClr val="bg1"/>
                </a:solidFill>
                <a:latin typeface="+mn-ea"/>
                <a:ea typeface="+mn-ea"/>
              </a:rPr>
              <a:t>발생키 </a:t>
            </a:r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1] </a:t>
            </a:r>
            <a:r>
              <a:rPr lang="ko-KR" altLang="en-US" sz="1000" b="1">
                <a:solidFill>
                  <a:schemeClr val="bg1"/>
                </a:solidFill>
                <a:latin typeface="+mn-ea"/>
                <a:ea typeface="+mn-ea"/>
              </a:rPr>
              <a:t>에 해당하는 전년도 미회수 채권과 </a:t>
            </a:r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[</a:t>
            </a:r>
            <a:r>
              <a:rPr lang="ko-KR" altLang="en-US" sz="1000" b="1">
                <a:solidFill>
                  <a:schemeClr val="bg1"/>
                </a:solidFill>
                <a:latin typeface="+mn-ea"/>
                <a:ea typeface="+mn-ea"/>
              </a:rPr>
              <a:t>발생키 </a:t>
            </a:r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2</a:t>
            </a:r>
            <a:r>
              <a:rPr lang="ko-KR" altLang="en-US" sz="1000" b="1">
                <a:solidFill>
                  <a:schemeClr val="bg1"/>
                </a:solidFill>
                <a:latin typeface="+mn-ea"/>
                <a:ea typeface="+mn-ea"/>
              </a:rPr>
              <a:t>와 </a:t>
            </a:r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3] </a:t>
            </a:r>
            <a:r>
              <a:rPr lang="ko-KR" altLang="en-US" sz="1000" b="1">
                <a:solidFill>
                  <a:schemeClr val="bg1"/>
                </a:solidFill>
                <a:latin typeface="+mn-ea"/>
                <a:ea typeface="+mn-ea"/>
              </a:rPr>
              <a:t>에 해당하는 </a:t>
            </a:r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2022</a:t>
            </a:r>
            <a:r>
              <a:rPr lang="ko-KR" altLang="en-US" sz="1000" b="1">
                <a:solidFill>
                  <a:schemeClr val="bg1"/>
                </a:solidFill>
                <a:latin typeface="+mn-ea"/>
                <a:ea typeface="+mn-ea"/>
              </a:rPr>
              <a:t>년 </a:t>
            </a:r>
            <a:r>
              <a:rPr lang="en-US" altLang="ko-KR" sz="1000" b="1">
                <a:solidFill>
                  <a:schemeClr val="bg1"/>
                </a:solidFill>
                <a:latin typeface="+mn-ea"/>
                <a:ea typeface="+mn-ea"/>
              </a:rPr>
              <a:t>4</a:t>
            </a:r>
            <a:r>
              <a:rPr lang="ko-KR" altLang="en-US" sz="1000" b="1">
                <a:solidFill>
                  <a:schemeClr val="bg1"/>
                </a:solidFill>
                <a:latin typeface="+mn-ea"/>
                <a:ea typeface="+mn-ea"/>
              </a:rPr>
              <a:t>월 전 발생된 채권도 기간 단위에 포함함</a:t>
            </a: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42A10201-34F6-7A6D-B2DA-BFFDE5D94430}"/>
              </a:ext>
            </a:extLst>
          </xdr:cNvPr>
          <xdr:cNvSpPr/>
        </xdr:nvSpPr>
        <xdr:spPr>
          <a:xfrm>
            <a:off x="19051" y="4391025"/>
            <a:ext cx="840097" cy="247650"/>
          </a:xfrm>
          <a:prstGeom prst="rect">
            <a:avLst/>
          </a:prstGeom>
          <a:noFill/>
          <a:ln w="222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화살표 연결선 13">
            <a:extLst>
              <a:ext uri="{FF2B5EF4-FFF2-40B4-BE49-F238E27FC236}">
                <a16:creationId xmlns:a16="http://schemas.microsoft.com/office/drawing/2014/main" id="{DCB553CC-3E09-28B1-3523-4E3CA76A49B8}"/>
              </a:ext>
            </a:extLst>
          </xdr:cNvPr>
          <xdr:cNvCxnSpPr/>
        </xdr:nvCxnSpPr>
        <xdr:spPr>
          <a:xfrm>
            <a:off x="628650" y="4638675"/>
            <a:ext cx="219075" cy="1200150"/>
          </a:xfrm>
          <a:prstGeom prst="straightConnector1">
            <a:avLst/>
          </a:prstGeom>
          <a:ln w="2222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114301</xdr:colOff>
      <xdr:row>20</xdr:row>
      <xdr:rowOff>23815</xdr:rowOff>
    </xdr:from>
    <xdr:to>
      <xdr:col>2</xdr:col>
      <xdr:colOff>85726</xdr:colOff>
      <xdr:row>24</xdr:row>
      <xdr:rowOff>28575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62953811-40FB-4059-918B-E0B8AB43A4F8}"/>
            </a:ext>
          </a:extLst>
        </xdr:cNvPr>
        <xdr:cNvGrpSpPr/>
      </xdr:nvGrpSpPr>
      <xdr:grpSpPr>
        <a:xfrm>
          <a:off x="1066801" y="4214815"/>
          <a:ext cx="1143000" cy="842960"/>
          <a:chOff x="1000126" y="3805240"/>
          <a:chExt cx="1143000" cy="842960"/>
        </a:xfrm>
      </xdr:grpSpPr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A235EBE5-CAD5-F103-9E4A-1CF2370921AA}"/>
              </a:ext>
            </a:extLst>
          </xdr:cNvPr>
          <xdr:cNvSpPr/>
        </xdr:nvSpPr>
        <xdr:spPr>
          <a:xfrm>
            <a:off x="1000126" y="4381500"/>
            <a:ext cx="1143000" cy="266700"/>
          </a:xfrm>
          <a:prstGeom prst="rect">
            <a:avLst/>
          </a:prstGeom>
          <a:noFill/>
          <a:ln w="222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7" name="직선 화살표 연결선 16">
            <a:extLst>
              <a:ext uri="{FF2B5EF4-FFF2-40B4-BE49-F238E27FC236}">
                <a16:creationId xmlns:a16="http://schemas.microsoft.com/office/drawing/2014/main" id="{31C3D76C-5C40-6690-1147-9773A04D3C48}"/>
              </a:ext>
            </a:extLst>
          </xdr:cNvPr>
          <xdr:cNvCxnSpPr>
            <a:endCxn id="8" idx="4"/>
          </xdr:cNvCxnSpPr>
        </xdr:nvCxnSpPr>
        <xdr:spPr>
          <a:xfrm flipV="1">
            <a:off x="1819275" y="3805240"/>
            <a:ext cx="304038" cy="576260"/>
          </a:xfrm>
          <a:prstGeom prst="straightConnector1">
            <a:avLst/>
          </a:prstGeom>
          <a:ln w="2222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857250</xdr:colOff>
      <xdr:row>20</xdr:row>
      <xdr:rowOff>104775</xdr:rowOff>
    </xdr:from>
    <xdr:to>
      <xdr:col>11</xdr:col>
      <xdr:colOff>76199</xdr:colOff>
      <xdr:row>27</xdr:row>
      <xdr:rowOff>85725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0797F9A-B5B3-477B-BA5C-7D3F621D4F99}"/>
            </a:ext>
          </a:extLst>
        </xdr:cNvPr>
        <xdr:cNvGrpSpPr/>
      </xdr:nvGrpSpPr>
      <xdr:grpSpPr>
        <a:xfrm>
          <a:off x="9448800" y="4295775"/>
          <a:ext cx="857249" cy="1447800"/>
          <a:chOff x="9077325" y="3876675"/>
          <a:chExt cx="857249" cy="1447800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21A6ABA6-ABB5-60BC-9C13-F2904C853F54}"/>
              </a:ext>
            </a:extLst>
          </xdr:cNvPr>
          <xdr:cNvSpPr/>
        </xdr:nvSpPr>
        <xdr:spPr>
          <a:xfrm>
            <a:off x="9077325" y="4543425"/>
            <a:ext cx="857249" cy="781050"/>
          </a:xfrm>
          <a:prstGeom prst="rect">
            <a:avLst/>
          </a:prstGeom>
          <a:noFill/>
          <a:ln w="222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0" name="직선 화살표 연결선 19">
            <a:extLst>
              <a:ext uri="{FF2B5EF4-FFF2-40B4-BE49-F238E27FC236}">
                <a16:creationId xmlns:a16="http://schemas.microsoft.com/office/drawing/2014/main" id="{A197746D-B0D7-623E-2215-E179A2EA3AD6}"/>
              </a:ext>
            </a:extLst>
          </xdr:cNvPr>
          <xdr:cNvCxnSpPr/>
        </xdr:nvCxnSpPr>
        <xdr:spPr>
          <a:xfrm flipH="1" flipV="1">
            <a:off x="9277350" y="3876675"/>
            <a:ext cx="171450" cy="666750"/>
          </a:xfrm>
          <a:prstGeom prst="straightConnector1">
            <a:avLst/>
          </a:prstGeom>
          <a:ln w="2222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762001</xdr:colOff>
      <xdr:row>34</xdr:row>
      <xdr:rowOff>171450</xdr:rowOff>
    </xdr:from>
    <xdr:to>
      <xdr:col>12</xdr:col>
      <xdr:colOff>209550</xdr:colOff>
      <xdr:row>37</xdr:row>
      <xdr:rowOff>28574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3340CB70-A25E-4B46-A59B-66399A4FD5B4}"/>
            </a:ext>
          </a:extLst>
        </xdr:cNvPr>
        <xdr:cNvGrpSpPr/>
      </xdr:nvGrpSpPr>
      <xdr:grpSpPr>
        <a:xfrm>
          <a:off x="5943601" y="7296150"/>
          <a:ext cx="5657849" cy="485774"/>
          <a:chOff x="1000126" y="4162425"/>
          <a:chExt cx="5657849" cy="485774"/>
        </a:xfrm>
      </xdr:grpSpPr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E950DA9F-9F51-B453-0505-7A388E8953DE}"/>
              </a:ext>
            </a:extLst>
          </xdr:cNvPr>
          <xdr:cNvSpPr/>
        </xdr:nvSpPr>
        <xdr:spPr>
          <a:xfrm>
            <a:off x="1000126" y="4410074"/>
            <a:ext cx="933449" cy="238125"/>
          </a:xfrm>
          <a:prstGeom prst="rect">
            <a:avLst/>
          </a:prstGeom>
          <a:noFill/>
          <a:ln w="222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8E42242A-CF07-5B5C-70EF-EAEDA1C844EC}"/>
              </a:ext>
            </a:extLst>
          </xdr:cNvPr>
          <xdr:cNvCxnSpPr>
            <a:stCxn id="22" idx="3"/>
          </xdr:cNvCxnSpPr>
        </xdr:nvCxnSpPr>
        <xdr:spPr>
          <a:xfrm flipV="1">
            <a:off x="1933575" y="4162425"/>
            <a:ext cx="4724400" cy="366712"/>
          </a:xfrm>
          <a:prstGeom prst="straightConnector1">
            <a:avLst/>
          </a:prstGeom>
          <a:ln w="2222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428625</xdr:colOff>
      <xdr:row>58</xdr:row>
      <xdr:rowOff>66675</xdr:rowOff>
    </xdr:from>
    <xdr:to>
      <xdr:col>9</xdr:col>
      <xdr:colOff>610095</xdr:colOff>
      <xdr:row>60</xdr:row>
      <xdr:rowOff>19050</xdr:rowOff>
    </xdr:to>
    <xdr:sp macro="" textlink="">
      <xdr:nvSpPr>
        <xdr:cNvPr id="24" name="말풍선: 사각형 23" descr="발생키 1에 해당하는 전년도 미회수 채권과 발생키 2와 3에 해당하는 2022년 4월 전 발생된 채권도 기간 산정에 포함함">
          <a:extLst>
            <a:ext uri="{FF2B5EF4-FFF2-40B4-BE49-F238E27FC236}">
              <a16:creationId xmlns:a16="http://schemas.microsoft.com/office/drawing/2014/main" id="{FEC04EB5-8D77-4030-8065-A6BC9FE87E9E}"/>
            </a:ext>
          </a:extLst>
        </xdr:cNvPr>
        <xdr:cNvSpPr/>
      </xdr:nvSpPr>
      <xdr:spPr>
        <a:xfrm>
          <a:off x="428625" y="12220575"/>
          <a:ext cx="8773020" cy="371475"/>
        </a:xfrm>
        <a:prstGeom prst="wedgeRectCallout">
          <a:avLst>
            <a:gd name="adj1" fmla="val -31436"/>
            <a:gd name="adj2" fmla="val -38462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[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발생키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7] 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에 해당하는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3,000,000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원이 </a:t>
          </a:r>
          <a:r>
            <a:rPr lang="en-US" altLang="ko-KR" sz="10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2024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년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2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월과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3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월에 걸쳐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2,600,000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원만 회수되어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</a:rPr>
            <a:t>400,000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</a:rPr>
            <a:t>월이 미회수 채권으로 남음 </a:t>
          </a:r>
        </a:p>
      </xdr:txBody>
    </xdr:sp>
    <xdr:clientData/>
  </xdr:twoCellAnchor>
  <xdr:twoCellAnchor>
    <xdr:from>
      <xdr:col>0</xdr:col>
      <xdr:colOff>47626</xdr:colOff>
      <xdr:row>50</xdr:row>
      <xdr:rowOff>200025</xdr:rowOff>
    </xdr:from>
    <xdr:to>
      <xdr:col>1</xdr:col>
      <xdr:colOff>38100</xdr:colOff>
      <xdr:row>58</xdr:row>
      <xdr:rowOff>85725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A91E65DD-9FAA-4F6B-973F-6A6A154655B2}"/>
            </a:ext>
          </a:extLst>
        </xdr:cNvPr>
        <xdr:cNvGrpSpPr/>
      </xdr:nvGrpSpPr>
      <xdr:grpSpPr>
        <a:xfrm>
          <a:off x="47626" y="10677525"/>
          <a:ext cx="942974" cy="1562100"/>
          <a:chOff x="47626" y="10677525"/>
          <a:chExt cx="942974" cy="1562100"/>
        </a:xfrm>
      </xdr:grpSpPr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81B4D92E-8804-F576-9260-BA688D8A2695}"/>
              </a:ext>
            </a:extLst>
          </xdr:cNvPr>
          <xdr:cNvSpPr/>
        </xdr:nvSpPr>
        <xdr:spPr>
          <a:xfrm>
            <a:off x="47626" y="10677525"/>
            <a:ext cx="942974" cy="304800"/>
          </a:xfrm>
          <a:prstGeom prst="rect">
            <a:avLst/>
          </a:prstGeom>
          <a:noFill/>
          <a:ln w="222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7" name="직선 화살표 연결선 26">
            <a:extLst>
              <a:ext uri="{FF2B5EF4-FFF2-40B4-BE49-F238E27FC236}">
                <a16:creationId xmlns:a16="http://schemas.microsoft.com/office/drawing/2014/main" id="{2C283475-DD01-3B5D-DF37-C2B54DBD3CE0}"/>
              </a:ext>
            </a:extLst>
          </xdr:cNvPr>
          <xdr:cNvCxnSpPr/>
        </xdr:nvCxnSpPr>
        <xdr:spPr>
          <a:xfrm>
            <a:off x="619125" y="10982325"/>
            <a:ext cx="333375" cy="1257300"/>
          </a:xfrm>
          <a:prstGeom prst="straightConnector1">
            <a:avLst/>
          </a:prstGeom>
          <a:ln w="2222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790576</xdr:colOff>
      <xdr:row>52</xdr:row>
      <xdr:rowOff>190499</xdr:rowOff>
    </xdr:from>
    <xdr:to>
      <xdr:col>6</xdr:col>
      <xdr:colOff>38100</xdr:colOff>
      <xdr:row>58</xdr:row>
      <xdr:rowOff>57150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E1330D5B-C79F-46F9-9BBB-59A437BD34AF}"/>
            </a:ext>
          </a:extLst>
        </xdr:cNvPr>
        <xdr:cNvGrpSpPr/>
      </xdr:nvGrpSpPr>
      <xdr:grpSpPr>
        <a:xfrm>
          <a:off x="5153026" y="11087099"/>
          <a:ext cx="857249" cy="1123951"/>
          <a:chOff x="5153026" y="11087099"/>
          <a:chExt cx="857249" cy="1123951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8B5E9623-6BAB-68B9-F3F6-48C57F156D9A}"/>
              </a:ext>
            </a:extLst>
          </xdr:cNvPr>
          <xdr:cNvSpPr/>
        </xdr:nvSpPr>
        <xdr:spPr>
          <a:xfrm>
            <a:off x="5153026" y="11087099"/>
            <a:ext cx="857249" cy="685801"/>
          </a:xfrm>
          <a:prstGeom prst="rect">
            <a:avLst/>
          </a:prstGeom>
          <a:noFill/>
          <a:ln w="222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화살표 연결선 29">
            <a:extLst>
              <a:ext uri="{FF2B5EF4-FFF2-40B4-BE49-F238E27FC236}">
                <a16:creationId xmlns:a16="http://schemas.microsoft.com/office/drawing/2014/main" id="{3F502058-561D-A99D-F1C2-E3F1D12CE8D5}"/>
              </a:ext>
            </a:extLst>
          </xdr:cNvPr>
          <xdr:cNvCxnSpPr>
            <a:endCxn id="29" idx="2"/>
          </xdr:cNvCxnSpPr>
        </xdr:nvCxnSpPr>
        <xdr:spPr>
          <a:xfrm flipV="1">
            <a:off x="5400675" y="11772900"/>
            <a:ext cx="180976" cy="438150"/>
          </a:xfrm>
          <a:prstGeom prst="straightConnector1">
            <a:avLst/>
          </a:prstGeom>
          <a:ln w="2222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847726</xdr:colOff>
      <xdr:row>54</xdr:row>
      <xdr:rowOff>190499</xdr:rowOff>
    </xdr:from>
    <xdr:to>
      <xdr:col>10</xdr:col>
      <xdr:colOff>47625</xdr:colOff>
      <xdr:row>58</xdr:row>
      <xdr:rowOff>85725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AB365663-8BA8-44B1-A88F-50165EA90037}"/>
            </a:ext>
          </a:extLst>
        </xdr:cNvPr>
        <xdr:cNvGrpSpPr/>
      </xdr:nvGrpSpPr>
      <xdr:grpSpPr>
        <a:xfrm>
          <a:off x="8572501" y="11506199"/>
          <a:ext cx="962024" cy="733426"/>
          <a:chOff x="8572501" y="11506199"/>
          <a:chExt cx="962024" cy="733426"/>
        </a:xfrm>
      </xdr:grpSpPr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529A3ED6-80FD-F1A4-193A-8CA9D8073022}"/>
              </a:ext>
            </a:extLst>
          </xdr:cNvPr>
          <xdr:cNvSpPr/>
        </xdr:nvSpPr>
        <xdr:spPr>
          <a:xfrm>
            <a:off x="8572501" y="11506199"/>
            <a:ext cx="962024" cy="276225"/>
          </a:xfrm>
          <a:prstGeom prst="rect">
            <a:avLst/>
          </a:prstGeom>
          <a:noFill/>
          <a:ln w="222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3" name="직선 화살표 연결선 32">
            <a:extLst>
              <a:ext uri="{FF2B5EF4-FFF2-40B4-BE49-F238E27FC236}">
                <a16:creationId xmlns:a16="http://schemas.microsoft.com/office/drawing/2014/main" id="{F7694CB0-FE19-005D-E0AD-CD20FC052137}"/>
              </a:ext>
            </a:extLst>
          </xdr:cNvPr>
          <xdr:cNvCxnSpPr>
            <a:stCxn id="32" idx="2"/>
          </xdr:cNvCxnSpPr>
        </xdr:nvCxnSpPr>
        <xdr:spPr>
          <a:xfrm flipH="1">
            <a:off x="8677275" y="11782424"/>
            <a:ext cx="376238" cy="457201"/>
          </a:xfrm>
          <a:prstGeom prst="straightConnector1">
            <a:avLst/>
          </a:prstGeom>
          <a:ln w="2222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zonBizon\SmartAPlus\&#50641;&#49472;&#44592;&#48376;&#49436;&#49885;\1.%20ING\0.&#45936;&#51060;&#53552;&#47560;&#52992;&#54021;\&#53580;&#51060;&#48660;&#47749;&#49464;&#49436;_&#51204;&#47928;&#49444;&#44228;&#49436;\&#44592;&#50629;&#49556;&#47336;&#49496;&#48512;_6&#44060;%20&#53580;&#51060;&#48660;_240828_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내용"/>
      <sheetName val="제공테이블"/>
      <sheetName val="월별_매출정보"/>
      <sheetName val="월별_매입정보"/>
      <sheetName val="거래처별매출채권정보"/>
      <sheetName val="거래처별매입채무정보"/>
      <sheetName val="거래처별매출채권회수기간"/>
      <sheetName val="거래처별매입채무지급기간"/>
      <sheetName val="구분"/>
      <sheetName val="Sheet5"/>
      <sheetName val="Sheet4"/>
      <sheetName val="Sheet1"/>
    </sheetNames>
    <sheetDataSet>
      <sheetData sheetId="0"/>
      <sheetData sheetId="1"/>
      <sheetData sheetId="2"/>
      <sheetData sheetId="3">
        <row r="1">
          <cell r="J1" t="str">
            <v>월별_매입정보</v>
          </cell>
        </row>
      </sheetData>
      <sheetData sheetId="4">
        <row r="1">
          <cell r="J1" t="str">
            <v>거래처별매출채권정보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112"/>
  <sheetViews>
    <sheetView showGridLines="0" topLeftCell="A38" zoomScale="85" zoomScaleNormal="85" zoomScaleSheetLayoutView="80" workbookViewId="0"/>
  </sheetViews>
  <sheetFormatPr defaultColWidth="10" defaultRowHeight="17.45"/>
  <cols>
    <col min="1" max="1" width="4.25" style="16" customWidth="1"/>
    <col min="2" max="2" width="1" style="16" customWidth="1"/>
    <col min="3" max="3" width="6" style="16" customWidth="1"/>
    <col min="4" max="4" width="15.375" style="16" customWidth="1"/>
    <col min="5" max="5" width="20.875" style="16" customWidth="1"/>
    <col min="6" max="6" width="10.875" style="16" customWidth="1"/>
    <col min="7" max="7" width="1.75" style="16" customWidth="1"/>
    <col min="8" max="8" width="30.375" style="16" customWidth="1"/>
    <col min="9" max="9" width="1" style="16" customWidth="1"/>
    <col min="10" max="16384" width="10" style="16"/>
  </cols>
  <sheetData>
    <row r="1" spans="2:8" ht="30" customHeight="1" thickBot="1"/>
    <row r="2" spans="2:8" ht="5.0999999999999996" customHeight="1">
      <c r="B2" s="17"/>
      <c r="C2" s="17"/>
      <c r="D2" s="17"/>
      <c r="E2" s="17"/>
      <c r="F2" s="17"/>
      <c r="G2" s="17"/>
      <c r="H2" s="17"/>
    </row>
    <row r="3" spans="2:8" ht="46.5" customHeight="1" thickBot="1">
      <c r="B3" s="26"/>
      <c r="C3" s="184" t="s">
        <v>0</v>
      </c>
      <c r="D3" s="184"/>
      <c r="E3" s="184"/>
      <c r="F3" s="184"/>
      <c r="G3" s="184"/>
      <c r="H3" s="184"/>
    </row>
    <row r="4" spans="2:8" ht="6.75" customHeight="1">
      <c r="C4" s="18"/>
      <c r="D4" s="18"/>
      <c r="E4" s="18"/>
      <c r="F4" s="18"/>
      <c r="G4" s="18"/>
      <c r="H4" s="18"/>
    </row>
    <row r="5" spans="2:8">
      <c r="F5" s="19" t="s">
        <v>1</v>
      </c>
      <c r="G5" s="19" t="s">
        <v>2</v>
      </c>
      <c r="H5" s="20" t="s">
        <v>3</v>
      </c>
    </row>
    <row r="6" spans="2:8">
      <c r="F6" s="19" t="s">
        <v>4</v>
      </c>
      <c r="G6" s="19" t="s">
        <v>2</v>
      </c>
      <c r="H6" s="20" t="s">
        <v>5</v>
      </c>
    </row>
    <row r="7" spans="2:8">
      <c r="F7" s="19" t="s">
        <v>6</v>
      </c>
      <c r="G7" s="19" t="s">
        <v>2</v>
      </c>
      <c r="H7" s="20" t="s">
        <v>7</v>
      </c>
    </row>
    <row r="8" spans="2:8" ht="18" thickBot="1">
      <c r="F8" s="19"/>
      <c r="G8" s="19"/>
      <c r="H8" s="21"/>
    </row>
    <row r="9" spans="2:8" ht="20.45" thickTop="1" thickBot="1">
      <c r="C9" s="22" t="s">
        <v>8</v>
      </c>
      <c r="D9" s="23" t="s">
        <v>9</v>
      </c>
      <c r="E9" s="23" t="s">
        <v>10</v>
      </c>
      <c r="F9" s="185" t="s">
        <v>11</v>
      </c>
      <c r="G9" s="185"/>
      <c r="H9" s="186"/>
    </row>
    <row r="10" spans="2:8" ht="20.100000000000001" customHeight="1" thickTop="1">
      <c r="C10" s="154">
        <v>1</v>
      </c>
      <c r="D10" s="196" t="str">
        <f>'1.월별_매출정보'!B2</f>
        <v>월별_매출정보</v>
      </c>
      <c r="E10" s="157" t="s">
        <v>12</v>
      </c>
      <c r="F10" s="197" t="s">
        <v>13</v>
      </c>
      <c r="G10" s="198"/>
      <c r="H10" s="198"/>
    </row>
    <row r="11" spans="2:8" ht="20.100000000000001" customHeight="1">
      <c r="C11" s="154"/>
      <c r="D11" s="196"/>
      <c r="E11" s="191"/>
      <c r="F11" s="174" t="s">
        <v>14</v>
      </c>
      <c r="G11" s="175"/>
      <c r="H11" s="175"/>
    </row>
    <row r="12" spans="2:8" ht="20.100000000000001" customHeight="1">
      <c r="C12" s="154"/>
      <c r="D12" s="196"/>
      <c r="E12" s="191"/>
      <c r="F12" s="65" t="s">
        <v>15</v>
      </c>
      <c r="G12" s="66"/>
      <c r="H12" s="66"/>
    </row>
    <row r="13" spans="2:8" ht="20.100000000000001" customHeight="1">
      <c r="C13" s="154"/>
      <c r="D13" s="196"/>
      <c r="E13" s="191"/>
      <c r="F13" s="166" t="s">
        <v>16</v>
      </c>
      <c r="G13" s="167"/>
      <c r="H13" s="167"/>
    </row>
    <row r="14" spans="2:8" ht="20.100000000000001" customHeight="1">
      <c r="C14" s="154"/>
      <c r="D14" s="196"/>
      <c r="E14" s="191"/>
      <c r="F14" s="166" t="s">
        <v>17</v>
      </c>
      <c r="G14" s="167"/>
      <c r="H14" s="167"/>
    </row>
    <row r="15" spans="2:8" ht="20.100000000000001" customHeight="1">
      <c r="C15" s="154"/>
      <c r="D15" s="196"/>
      <c r="E15" s="191"/>
      <c r="F15" s="164" t="s">
        <v>18</v>
      </c>
      <c r="G15" s="165"/>
      <c r="H15" s="165"/>
    </row>
    <row r="16" spans="2:8" ht="20.100000000000001" customHeight="1">
      <c r="C16" s="154"/>
      <c r="D16" s="196"/>
      <c r="E16" s="191"/>
      <c r="F16" s="166" t="s">
        <v>19</v>
      </c>
      <c r="G16" s="167"/>
      <c r="H16" s="167"/>
    </row>
    <row r="17" spans="3:8" ht="20.100000000000001" customHeight="1">
      <c r="C17" s="154"/>
      <c r="D17" s="196"/>
      <c r="E17" s="191"/>
      <c r="F17" s="166" t="s">
        <v>20</v>
      </c>
      <c r="G17" s="167"/>
      <c r="H17" s="167"/>
    </row>
    <row r="18" spans="3:8" ht="20.100000000000001" customHeight="1">
      <c r="C18" s="154"/>
      <c r="D18" s="196"/>
      <c r="E18" s="191"/>
      <c r="F18" s="166" t="s">
        <v>21</v>
      </c>
      <c r="G18" s="167"/>
      <c r="H18" s="167"/>
    </row>
    <row r="19" spans="3:8" ht="20.100000000000001" customHeight="1">
      <c r="C19" s="154"/>
      <c r="D19" s="196"/>
      <c r="E19" s="191"/>
      <c r="F19" s="166" t="s">
        <v>22</v>
      </c>
      <c r="G19" s="167"/>
      <c r="H19" s="167"/>
    </row>
    <row r="20" spans="3:8" ht="20.100000000000001" customHeight="1">
      <c r="C20" s="154"/>
      <c r="D20" s="196"/>
      <c r="E20" s="191"/>
      <c r="F20" s="166" t="s">
        <v>23</v>
      </c>
      <c r="G20" s="167"/>
      <c r="H20" s="167"/>
    </row>
    <row r="21" spans="3:8" ht="20.100000000000001" customHeight="1">
      <c r="C21" s="154"/>
      <c r="D21" s="196"/>
      <c r="E21" s="191"/>
      <c r="F21" s="166" t="s">
        <v>24</v>
      </c>
      <c r="G21" s="167"/>
      <c r="H21" s="167"/>
    </row>
    <row r="22" spans="3:8" ht="20.100000000000001" customHeight="1">
      <c r="C22" s="154"/>
      <c r="D22" s="196"/>
      <c r="E22" s="191"/>
      <c r="F22" s="166" t="s">
        <v>25</v>
      </c>
      <c r="G22" s="167"/>
      <c r="H22" s="167"/>
    </row>
    <row r="23" spans="3:8" ht="20.100000000000001" customHeight="1">
      <c r="C23" s="154"/>
      <c r="D23" s="196"/>
      <c r="E23" s="191"/>
      <c r="F23" s="166" t="s">
        <v>26</v>
      </c>
      <c r="G23" s="167"/>
      <c r="H23" s="167"/>
    </row>
    <row r="24" spans="3:8" ht="20.100000000000001" customHeight="1">
      <c r="C24" s="154"/>
      <c r="D24" s="196"/>
      <c r="E24" s="191"/>
      <c r="F24" s="166" t="s">
        <v>27</v>
      </c>
      <c r="G24" s="167"/>
      <c r="H24" s="167"/>
    </row>
    <row r="25" spans="3:8" ht="20.100000000000001" customHeight="1">
      <c r="C25" s="154"/>
      <c r="D25" s="196"/>
      <c r="E25" s="191"/>
      <c r="F25" s="62"/>
      <c r="G25" s="60"/>
      <c r="H25" s="60"/>
    </row>
    <row r="26" spans="3:8" ht="20.100000000000001" customHeight="1">
      <c r="C26" s="154"/>
      <c r="D26" s="196"/>
      <c r="E26" s="191"/>
      <c r="F26" s="199"/>
      <c r="G26" s="200"/>
      <c r="H26" s="200"/>
    </row>
    <row r="27" spans="3:8" ht="20.100000000000001" customHeight="1">
      <c r="C27" s="153">
        <v>2</v>
      </c>
      <c r="D27" s="201" t="str">
        <f>[1]월별_매입정보!J1</f>
        <v>월별_매입정보</v>
      </c>
      <c r="E27" s="156" t="s">
        <v>28</v>
      </c>
      <c r="F27" s="159" t="s">
        <v>13</v>
      </c>
      <c r="G27" s="168"/>
      <c r="H27" s="168"/>
    </row>
    <row r="28" spans="3:8">
      <c r="C28" s="154"/>
      <c r="D28" s="202"/>
      <c r="E28" s="157"/>
      <c r="F28" s="160" t="s">
        <v>14</v>
      </c>
      <c r="G28" s="161"/>
      <c r="H28" s="161"/>
    </row>
    <row r="29" spans="3:8" ht="20.100000000000001" customHeight="1">
      <c r="C29" s="154"/>
      <c r="D29" s="202"/>
      <c r="E29" s="157"/>
      <c r="F29" s="160" t="s">
        <v>15</v>
      </c>
      <c r="G29" s="161"/>
      <c r="H29" s="161"/>
    </row>
    <row r="30" spans="3:8" ht="20.100000000000001" customHeight="1">
      <c r="C30" s="154"/>
      <c r="D30" s="202"/>
      <c r="E30" s="157"/>
      <c r="F30" s="166" t="s">
        <v>29</v>
      </c>
      <c r="G30" s="167"/>
      <c r="H30" s="167"/>
    </row>
    <row r="31" spans="3:8" ht="20.100000000000001" customHeight="1">
      <c r="C31" s="154"/>
      <c r="D31" s="202"/>
      <c r="E31" s="157"/>
      <c r="F31" s="166" t="s">
        <v>30</v>
      </c>
      <c r="G31" s="167"/>
      <c r="H31" s="167"/>
    </row>
    <row r="32" spans="3:8" ht="20.100000000000001" customHeight="1">
      <c r="C32" s="154"/>
      <c r="D32" s="202"/>
      <c r="E32" s="157"/>
      <c r="F32" s="164" t="s">
        <v>31</v>
      </c>
      <c r="G32" s="165"/>
      <c r="H32" s="165"/>
    </row>
    <row r="33" spans="3:8" ht="20.100000000000001" customHeight="1">
      <c r="C33" s="154"/>
      <c r="D33" s="202"/>
      <c r="E33" s="157"/>
      <c r="F33" s="166" t="s">
        <v>19</v>
      </c>
      <c r="G33" s="167"/>
      <c r="H33" s="167"/>
    </row>
    <row r="34" spans="3:8" ht="20.100000000000001" customHeight="1">
      <c r="C34" s="154"/>
      <c r="D34" s="202"/>
      <c r="E34" s="157"/>
      <c r="F34" s="166" t="s">
        <v>20</v>
      </c>
      <c r="G34" s="167"/>
      <c r="H34" s="167"/>
    </row>
    <row r="35" spans="3:8" ht="20.100000000000001" customHeight="1">
      <c r="C35" s="154"/>
      <c r="D35" s="202"/>
      <c r="E35" s="157"/>
      <c r="F35" s="166" t="s">
        <v>32</v>
      </c>
      <c r="G35" s="167"/>
      <c r="H35" s="167"/>
    </row>
    <row r="36" spans="3:8" ht="20.100000000000001" customHeight="1">
      <c r="C36" s="154"/>
      <c r="D36" s="202"/>
      <c r="E36" s="157"/>
      <c r="F36" s="166" t="s">
        <v>22</v>
      </c>
      <c r="G36" s="167"/>
      <c r="H36" s="167"/>
    </row>
    <row r="37" spans="3:8" ht="20.100000000000001" customHeight="1">
      <c r="C37" s="154"/>
      <c r="D37" s="202"/>
      <c r="E37" s="157"/>
      <c r="F37" s="166" t="s">
        <v>23</v>
      </c>
      <c r="G37" s="167"/>
      <c r="H37" s="167"/>
    </row>
    <row r="38" spans="3:8" ht="20.100000000000001" customHeight="1">
      <c r="C38" s="154"/>
      <c r="D38" s="202"/>
      <c r="E38" s="157"/>
      <c r="F38" s="166" t="s">
        <v>24</v>
      </c>
      <c r="G38" s="167"/>
      <c r="H38" s="167"/>
    </row>
    <row r="39" spans="3:8" ht="20.100000000000001" customHeight="1">
      <c r="C39" s="154"/>
      <c r="D39" s="202"/>
      <c r="E39" s="157"/>
      <c r="F39" s="166" t="s">
        <v>25</v>
      </c>
      <c r="G39" s="167"/>
      <c r="H39" s="167"/>
    </row>
    <row r="40" spans="3:8" ht="20.100000000000001" customHeight="1">
      <c r="C40" s="154"/>
      <c r="D40" s="202"/>
      <c r="E40" s="157"/>
      <c r="F40" s="166" t="s">
        <v>26</v>
      </c>
      <c r="G40" s="167"/>
      <c r="H40" s="167"/>
    </row>
    <row r="41" spans="3:8" ht="20.100000000000001" customHeight="1">
      <c r="C41" s="154"/>
      <c r="D41" s="202"/>
      <c r="E41" s="157"/>
      <c r="F41" s="166" t="s">
        <v>27</v>
      </c>
      <c r="G41" s="167"/>
      <c r="H41" s="167"/>
    </row>
    <row r="42" spans="3:8" ht="20.100000000000001" customHeight="1">
      <c r="C42" s="154"/>
      <c r="D42" s="202"/>
      <c r="E42" s="157"/>
      <c r="F42" s="62"/>
      <c r="G42" s="47"/>
      <c r="H42" s="47"/>
    </row>
    <row r="43" spans="3:8" ht="20.100000000000001" customHeight="1">
      <c r="C43" s="154"/>
      <c r="D43" s="203"/>
      <c r="E43" s="157"/>
      <c r="F43" s="162"/>
      <c r="G43" s="163"/>
      <c r="H43" s="163"/>
    </row>
    <row r="44" spans="3:8" ht="20.100000000000001" customHeight="1">
      <c r="C44" s="153">
        <v>3</v>
      </c>
      <c r="D44" s="155" t="str">
        <f>[1]거래처별매출채권정보!J1</f>
        <v>거래처별매출채권정보</v>
      </c>
      <c r="E44" s="156" t="s">
        <v>33</v>
      </c>
      <c r="F44" s="158" t="s">
        <v>13</v>
      </c>
      <c r="G44" s="158"/>
      <c r="H44" s="159"/>
    </row>
    <row r="45" spans="3:8" ht="20.100000000000001" customHeight="1">
      <c r="C45" s="154"/>
      <c r="D45" s="155"/>
      <c r="E45" s="157"/>
      <c r="F45" s="160" t="s">
        <v>14</v>
      </c>
      <c r="G45" s="161"/>
      <c r="H45" s="161"/>
    </row>
    <row r="46" spans="3:8" ht="20.100000000000001" customHeight="1">
      <c r="C46" s="154"/>
      <c r="D46" s="155"/>
      <c r="E46" s="157"/>
      <c r="F46" s="160" t="s">
        <v>15</v>
      </c>
      <c r="G46" s="161"/>
      <c r="H46" s="161"/>
    </row>
    <row r="47" spans="3:8" ht="20.100000000000001" customHeight="1">
      <c r="C47" s="154"/>
      <c r="D47" s="155"/>
      <c r="E47" s="157"/>
      <c r="F47" s="162" t="s">
        <v>17</v>
      </c>
      <c r="G47" s="163"/>
      <c r="H47" s="163"/>
    </row>
    <row r="48" spans="3:8" ht="20.100000000000001" customHeight="1">
      <c r="C48" s="154"/>
      <c r="D48" s="155"/>
      <c r="E48" s="157"/>
      <c r="F48" s="164" t="s">
        <v>18</v>
      </c>
      <c r="G48" s="165"/>
      <c r="H48" s="165"/>
    </row>
    <row r="49" spans="3:12" ht="20.100000000000001" customHeight="1">
      <c r="C49" s="154"/>
      <c r="D49" s="155"/>
      <c r="E49" s="157"/>
      <c r="F49" s="166" t="s">
        <v>34</v>
      </c>
      <c r="G49" s="167"/>
      <c r="H49" s="167"/>
    </row>
    <row r="50" spans="3:12" ht="20.100000000000001" customHeight="1">
      <c r="C50" s="154"/>
      <c r="D50" s="155"/>
      <c r="E50" s="157"/>
      <c r="F50" s="166" t="s">
        <v>35</v>
      </c>
      <c r="G50" s="167"/>
      <c r="H50" s="167"/>
    </row>
    <row r="51" spans="3:12" ht="20.100000000000001" customHeight="1">
      <c r="C51" s="154"/>
      <c r="D51" s="155"/>
      <c r="E51" s="157"/>
      <c r="F51" s="166" t="s">
        <v>36</v>
      </c>
      <c r="G51" s="167"/>
      <c r="H51" s="167"/>
    </row>
    <row r="52" spans="3:12" ht="20.100000000000001" customHeight="1">
      <c r="C52" s="154"/>
      <c r="D52" s="155"/>
      <c r="E52" s="157"/>
      <c r="F52" s="162"/>
      <c r="G52" s="163"/>
      <c r="H52" s="163"/>
    </row>
    <row r="53" spans="3:12" ht="20.100000000000001" customHeight="1">
      <c r="C53" s="153">
        <v>4</v>
      </c>
      <c r="D53" s="169" t="str">
        <f>'4.거래처별매입채무정보'!B2</f>
        <v>거래처별매입채무정보</v>
      </c>
      <c r="E53" s="156" t="s">
        <v>37</v>
      </c>
      <c r="F53" s="158" t="s">
        <v>13</v>
      </c>
      <c r="G53" s="158"/>
      <c r="H53" s="159"/>
    </row>
    <row r="54" spans="3:12" ht="20.100000000000001" customHeight="1">
      <c r="C54" s="154"/>
      <c r="D54" s="170"/>
      <c r="E54" s="157"/>
      <c r="F54" s="160" t="s">
        <v>14</v>
      </c>
      <c r="G54" s="161"/>
      <c r="H54" s="161"/>
      <c r="L54" s="98"/>
    </row>
    <row r="55" spans="3:12" ht="20.100000000000001" customHeight="1">
      <c r="C55" s="154"/>
      <c r="D55" s="170"/>
      <c r="E55" s="157"/>
      <c r="F55" s="160" t="s">
        <v>15</v>
      </c>
      <c r="G55" s="161"/>
      <c r="H55" s="161"/>
    </row>
    <row r="56" spans="3:12" ht="20.100000000000001" customHeight="1">
      <c r="C56" s="154"/>
      <c r="D56" s="170"/>
      <c r="E56" s="157"/>
      <c r="F56" s="166" t="s">
        <v>30</v>
      </c>
      <c r="G56" s="167"/>
      <c r="H56" s="167"/>
    </row>
    <row r="57" spans="3:12" ht="20.100000000000001" customHeight="1">
      <c r="C57" s="154"/>
      <c r="D57" s="170"/>
      <c r="E57" s="157"/>
      <c r="F57" s="164" t="s">
        <v>31</v>
      </c>
      <c r="G57" s="165"/>
      <c r="H57" s="165"/>
    </row>
    <row r="58" spans="3:12" ht="20.100000000000001" customHeight="1">
      <c r="C58" s="154"/>
      <c r="D58" s="170"/>
      <c r="E58" s="157"/>
      <c r="F58" s="166" t="s">
        <v>38</v>
      </c>
      <c r="G58" s="167"/>
      <c r="H58" s="167"/>
    </row>
    <row r="59" spans="3:12" ht="20.100000000000001" customHeight="1">
      <c r="C59" s="154"/>
      <c r="D59" s="170"/>
      <c r="E59" s="157"/>
      <c r="F59" s="166" t="s">
        <v>39</v>
      </c>
      <c r="G59" s="167"/>
      <c r="H59" s="167"/>
    </row>
    <row r="60" spans="3:12" ht="20.100000000000001" customHeight="1">
      <c r="C60" s="154"/>
      <c r="D60" s="170"/>
      <c r="E60" s="157"/>
      <c r="F60" s="166" t="s">
        <v>40</v>
      </c>
      <c r="G60" s="167"/>
      <c r="H60" s="167"/>
    </row>
    <row r="61" spans="3:12" ht="20.100000000000001" customHeight="1">
      <c r="C61" s="178"/>
      <c r="D61" s="171"/>
      <c r="E61" s="181"/>
      <c r="F61" s="182"/>
      <c r="G61" s="182"/>
      <c r="H61" s="183"/>
    </row>
    <row r="62" spans="3:12" ht="20.100000000000001" customHeight="1">
      <c r="C62" s="153">
        <v>5</v>
      </c>
      <c r="D62" s="179" t="str">
        <f>'5.거래처별매출채권회수기간'!B2</f>
        <v>거래처별매출채권회수기간</v>
      </c>
      <c r="E62" s="156" t="s">
        <v>41</v>
      </c>
      <c r="F62" s="172" t="s">
        <v>13</v>
      </c>
      <c r="G62" s="172"/>
      <c r="H62" s="173"/>
    </row>
    <row r="63" spans="3:12" ht="20.100000000000001" customHeight="1">
      <c r="C63" s="154"/>
      <c r="D63" s="179"/>
      <c r="E63" s="157"/>
      <c r="F63" s="174" t="s">
        <v>14</v>
      </c>
      <c r="G63" s="175"/>
      <c r="H63" s="175"/>
    </row>
    <row r="64" spans="3:12" ht="20.100000000000001" customHeight="1">
      <c r="C64" s="154"/>
      <c r="D64" s="179"/>
      <c r="E64" s="157"/>
      <c r="F64" s="174" t="s">
        <v>15</v>
      </c>
      <c r="G64" s="175"/>
      <c r="H64" s="175"/>
    </row>
    <row r="65" spans="3:8" ht="20.100000000000001" customHeight="1">
      <c r="C65" s="154"/>
      <c r="D65" s="179"/>
      <c r="E65" s="157"/>
      <c r="F65" s="176" t="s">
        <v>42</v>
      </c>
      <c r="G65" s="177"/>
      <c r="H65" s="177"/>
    </row>
    <row r="66" spans="3:8" ht="20.100000000000001" customHeight="1">
      <c r="C66" s="154"/>
      <c r="D66" s="179"/>
      <c r="E66" s="157"/>
      <c r="F66" s="166" t="s">
        <v>43</v>
      </c>
      <c r="G66" s="167"/>
      <c r="H66" s="167"/>
    </row>
    <row r="67" spans="3:8" ht="20.100000000000001" customHeight="1">
      <c r="C67" s="154"/>
      <c r="D67" s="179"/>
      <c r="E67" s="157"/>
      <c r="F67" s="166" t="s">
        <v>17</v>
      </c>
      <c r="G67" s="167"/>
      <c r="H67" s="167"/>
    </row>
    <row r="68" spans="3:8" ht="20.100000000000001" customHeight="1">
      <c r="C68" s="154"/>
      <c r="D68" s="179"/>
      <c r="E68" s="157"/>
      <c r="F68" s="166" t="s">
        <v>44</v>
      </c>
      <c r="G68" s="167"/>
      <c r="H68" s="167"/>
    </row>
    <row r="69" spans="3:8" ht="20.100000000000001" customHeight="1">
      <c r="C69" s="154"/>
      <c r="D69" s="179"/>
      <c r="E69" s="157"/>
      <c r="F69" s="166" t="s">
        <v>45</v>
      </c>
      <c r="G69" s="167"/>
      <c r="H69" s="167"/>
    </row>
    <row r="70" spans="3:8" ht="20.100000000000001" customHeight="1">
      <c r="C70" s="154"/>
      <c r="D70" s="179"/>
      <c r="E70" s="157"/>
      <c r="F70" s="166" t="s">
        <v>46</v>
      </c>
      <c r="G70" s="167"/>
      <c r="H70" s="167"/>
    </row>
    <row r="71" spans="3:8" ht="20.100000000000001" customHeight="1">
      <c r="C71" s="154"/>
      <c r="D71" s="179"/>
      <c r="E71" s="157"/>
      <c r="F71" s="166" t="s">
        <v>47</v>
      </c>
      <c r="G71" s="167"/>
      <c r="H71" s="167"/>
    </row>
    <row r="72" spans="3:8" ht="20.100000000000001" customHeight="1">
      <c r="C72" s="154"/>
      <c r="D72" s="179"/>
      <c r="E72" s="157"/>
      <c r="F72" s="166" t="s">
        <v>48</v>
      </c>
      <c r="G72" s="167"/>
      <c r="H72" s="167"/>
    </row>
    <row r="73" spans="3:8" ht="20.100000000000001" customHeight="1">
      <c r="C73" s="154"/>
      <c r="D73" s="179"/>
      <c r="E73" s="157"/>
      <c r="F73" s="166" t="s">
        <v>49</v>
      </c>
      <c r="G73" s="167"/>
      <c r="H73" s="167"/>
    </row>
    <row r="74" spans="3:8" ht="20.100000000000001" customHeight="1">
      <c r="C74" s="154"/>
      <c r="D74" s="179"/>
      <c r="E74" s="157"/>
      <c r="F74" s="61"/>
      <c r="G74" s="57"/>
      <c r="H74" s="57"/>
    </row>
    <row r="75" spans="3:8" ht="20.100000000000001" customHeight="1">
      <c r="C75" s="178"/>
      <c r="D75" s="179"/>
      <c r="E75" s="180"/>
      <c r="F75" s="48"/>
      <c r="G75" s="56"/>
      <c r="H75" s="56"/>
    </row>
    <row r="76" spans="3:8" ht="20.100000000000001" customHeight="1">
      <c r="C76" s="153">
        <v>6</v>
      </c>
      <c r="D76" s="169" t="str">
        <f>'6.거래처별매입채무지급기간'!B2</f>
        <v>거래처별매입채무지급기간</v>
      </c>
      <c r="E76" s="156" t="s">
        <v>50</v>
      </c>
      <c r="F76" s="172" t="s">
        <v>13</v>
      </c>
      <c r="G76" s="172"/>
      <c r="H76" s="173"/>
    </row>
    <row r="77" spans="3:8" ht="20.100000000000001" customHeight="1">
      <c r="C77" s="154"/>
      <c r="D77" s="170"/>
      <c r="E77" s="157"/>
      <c r="F77" s="174" t="s">
        <v>14</v>
      </c>
      <c r="G77" s="175"/>
      <c r="H77" s="175"/>
    </row>
    <row r="78" spans="3:8" ht="20.100000000000001" customHeight="1">
      <c r="C78" s="154"/>
      <c r="D78" s="170"/>
      <c r="E78" s="157"/>
      <c r="F78" s="174" t="s">
        <v>15</v>
      </c>
      <c r="G78" s="175"/>
      <c r="H78" s="175"/>
    </row>
    <row r="79" spans="3:8" ht="20.100000000000001" customHeight="1">
      <c r="C79" s="154"/>
      <c r="D79" s="170"/>
      <c r="E79" s="157"/>
      <c r="F79" s="176" t="s">
        <v>51</v>
      </c>
      <c r="G79" s="177"/>
      <c r="H79" s="177"/>
    </row>
    <row r="80" spans="3:8" ht="20.100000000000001" customHeight="1">
      <c r="C80" s="154"/>
      <c r="D80" s="170"/>
      <c r="E80" s="157"/>
      <c r="F80" s="166" t="s">
        <v>52</v>
      </c>
      <c r="G80" s="167"/>
      <c r="H80" s="167"/>
    </row>
    <row r="81" spans="3:8" ht="20.100000000000001" customHeight="1">
      <c r="C81" s="154"/>
      <c r="D81" s="170"/>
      <c r="E81" s="157"/>
      <c r="F81" s="166" t="s">
        <v>30</v>
      </c>
      <c r="G81" s="167"/>
      <c r="H81" s="167"/>
    </row>
    <row r="82" spans="3:8" ht="20.100000000000001" customHeight="1">
      <c r="C82" s="154"/>
      <c r="D82" s="170"/>
      <c r="E82" s="157"/>
      <c r="F82" s="166" t="s">
        <v>53</v>
      </c>
      <c r="G82" s="167"/>
      <c r="H82" s="167"/>
    </row>
    <row r="83" spans="3:8" ht="20.100000000000001" customHeight="1">
      <c r="C83" s="154"/>
      <c r="D83" s="170"/>
      <c r="E83" s="157"/>
      <c r="F83" s="166" t="s">
        <v>53</v>
      </c>
      <c r="G83" s="167"/>
      <c r="H83" s="167"/>
    </row>
    <row r="84" spans="3:8" ht="20.100000000000001" customHeight="1">
      <c r="C84" s="154"/>
      <c r="D84" s="170"/>
      <c r="E84" s="157"/>
      <c r="F84" s="166" t="s">
        <v>54</v>
      </c>
      <c r="G84" s="167"/>
      <c r="H84" s="167"/>
    </row>
    <row r="85" spans="3:8" ht="20.100000000000001" customHeight="1">
      <c r="C85" s="154"/>
      <c r="D85" s="170"/>
      <c r="E85" s="157"/>
      <c r="F85" s="166" t="s">
        <v>55</v>
      </c>
      <c r="G85" s="167"/>
      <c r="H85" s="167"/>
    </row>
    <row r="86" spans="3:8" ht="20.100000000000001" customHeight="1">
      <c r="C86" s="154"/>
      <c r="D86" s="170"/>
      <c r="E86" s="157"/>
      <c r="F86" s="166" t="s">
        <v>47</v>
      </c>
      <c r="G86" s="167"/>
      <c r="H86" s="167"/>
    </row>
    <row r="87" spans="3:8" ht="20.100000000000001" customHeight="1">
      <c r="C87" s="154"/>
      <c r="D87" s="170"/>
      <c r="E87" s="157"/>
      <c r="F87" s="166" t="s">
        <v>56</v>
      </c>
      <c r="G87" s="167"/>
      <c r="H87" s="167"/>
    </row>
    <row r="88" spans="3:8" ht="20.100000000000001" customHeight="1">
      <c r="C88" s="154"/>
      <c r="D88" s="170"/>
      <c r="E88" s="157"/>
      <c r="F88" s="166" t="s">
        <v>57</v>
      </c>
      <c r="G88" s="167"/>
      <c r="H88" s="167"/>
    </row>
    <row r="89" spans="3:8" ht="20.100000000000001" customHeight="1">
      <c r="C89" s="154"/>
      <c r="D89" s="170"/>
      <c r="E89" s="157"/>
      <c r="F89" s="62"/>
      <c r="G89" s="59"/>
      <c r="H89" s="59"/>
    </row>
    <row r="90" spans="3:8" ht="20.100000000000001" customHeight="1">
      <c r="C90" s="154"/>
      <c r="D90" s="171"/>
      <c r="E90" s="157"/>
      <c r="F90" s="64"/>
      <c r="G90" s="57"/>
      <c r="H90" s="57"/>
    </row>
    <row r="91" spans="3:8" ht="20.100000000000001" customHeight="1">
      <c r="C91" s="153">
        <v>7</v>
      </c>
      <c r="D91" s="188" t="str">
        <f>'7.분기별_매출매입정보'!B2</f>
        <v>분기별매출(매입)정보</v>
      </c>
      <c r="E91" s="156" t="s">
        <v>58</v>
      </c>
      <c r="F91" s="173" t="s">
        <v>13</v>
      </c>
      <c r="G91" s="193"/>
      <c r="H91" s="193"/>
    </row>
    <row r="92" spans="3:8" ht="20.100000000000001" customHeight="1">
      <c r="C92" s="154"/>
      <c r="D92" s="189"/>
      <c r="E92" s="191"/>
      <c r="F92" s="174" t="s">
        <v>14</v>
      </c>
      <c r="G92" s="175"/>
      <c r="H92" s="175"/>
    </row>
    <row r="93" spans="3:8" ht="20.100000000000001" customHeight="1">
      <c r="C93" s="154"/>
      <c r="D93" s="189"/>
      <c r="E93" s="191"/>
      <c r="F93" s="174" t="s">
        <v>15</v>
      </c>
      <c r="G93" s="175"/>
      <c r="H93" s="175"/>
    </row>
    <row r="94" spans="3:8" ht="20.100000000000001" customHeight="1">
      <c r="C94" s="154"/>
      <c r="D94" s="189"/>
      <c r="E94" s="191"/>
      <c r="F94" s="166" t="s">
        <v>59</v>
      </c>
      <c r="G94" s="167"/>
      <c r="H94" s="167"/>
    </row>
    <row r="95" spans="3:8" ht="20.100000000000001" customHeight="1">
      <c r="C95" s="154"/>
      <c r="D95" s="189"/>
      <c r="E95" s="191"/>
      <c r="F95" s="166" t="s">
        <v>60</v>
      </c>
      <c r="G95" s="167"/>
      <c r="H95" s="167"/>
    </row>
    <row r="96" spans="3:8" ht="20.100000000000001" customHeight="1">
      <c r="C96" s="154"/>
      <c r="D96" s="189"/>
      <c r="E96" s="191"/>
      <c r="F96" s="164" t="s">
        <v>61</v>
      </c>
      <c r="G96" s="165"/>
      <c r="H96" s="165"/>
    </row>
    <row r="97" spans="3:8" ht="20.100000000000001" customHeight="1">
      <c r="C97" s="154"/>
      <c r="D97" s="189"/>
      <c r="E97" s="191"/>
      <c r="F97" s="166" t="s">
        <v>62</v>
      </c>
      <c r="G97" s="167"/>
      <c r="H97" s="167"/>
    </row>
    <row r="98" spans="3:8" ht="20.100000000000001" customHeight="1">
      <c r="C98" s="154"/>
      <c r="D98" s="189"/>
      <c r="E98" s="191"/>
      <c r="F98" s="166" t="s">
        <v>63</v>
      </c>
      <c r="G98" s="167"/>
      <c r="H98" s="167"/>
    </row>
    <row r="99" spans="3:8" ht="20.100000000000001" customHeight="1">
      <c r="C99" s="154"/>
      <c r="D99" s="189"/>
      <c r="E99" s="191"/>
      <c r="F99" s="166" t="s">
        <v>64</v>
      </c>
      <c r="G99" s="167"/>
      <c r="H99" s="167"/>
    </row>
    <row r="100" spans="3:8" ht="20.100000000000001" customHeight="1">
      <c r="C100" s="154"/>
      <c r="D100" s="189"/>
      <c r="E100" s="191"/>
      <c r="F100" s="166" t="s">
        <v>27</v>
      </c>
      <c r="G100" s="167"/>
      <c r="H100" s="167"/>
    </row>
    <row r="101" spans="3:8" ht="20.100000000000001" customHeight="1">
      <c r="C101" s="154"/>
      <c r="D101" s="189"/>
      <c r="E101" s="191"/>
      <c r="F101" s="166" t="s">
        <v>65</v>
      </c>
      <c r="G101" s="167"/>
      <c r="H101" s="167"/>
    </row>
    <row r="102" spans="3:8" ht="20.100000000000001" customHeight="1">
      <c r="C102" s="154"/>
      <c r="D102" s="189"/>
      <c r="E102" s="191"/>
      <c r="F102" s="166" t="s">
        <v>66</v>
      </c>
      <c r="G102" s="167"/>
      <c r="H102" s="167"/>
    </row>
    <row r="103" spans="3:8" ht="20.100000000000001" customHeight="1">
      <c r="C103" s="154"/>
      <c r="D103" s="189"/>
      <c r="E103" s="191"/>
      <c r="F103" s="166" t="s">
        <v>67</v>
      </c>
      <c r="G103" s="167"/>
      <c r="H103" s="167"/>
    </row>
    <row r="104" spans="3:8" ht="20.100000000000001" customHeight="1">
      <c r="C104" s="154"/>
      <c r="D104" s="189"/>
      <c r="E104" s="191"/>
      <c r="F104" s="166" t="s">
        <v>68</v>
      </c>
      <c r="G104" s="167"/>
      <c r="H104" s="167"/>
    </row>
    <row r="105" spans="3:8" ht="20.100000000000001" customHeight="1">
      <c r="C105" s="154"/>
      <c r="D105" s="189"/>
      <c r="E105" s="191"/>
      <c r="F105" s="166" t="s">
        <v>69</v>
      </c>
      <c r="G105" s="167"/>
      <c r="H105" s="167"/>
    </row>
    <row r="106" spans="3:8" ht="20.100000000000001" customHeight="1">
      <c r="C106" s="154"/>
      <c r="D106" s="189"/>
      <c r="E106" s="191"/>
      <c r="F106" s="166" t="s">
        <v>70</v>
      </c>
      <c r="G106" s="167"/>
      <c r="H106" s="167"/>
    </row>
    <row r="107" spans="3:8" ht="20.100000000000001" customHeight="1">
      <c r="C107" s="154"/>
      <c r="D107" s="189"/>
      <c r="E107" s="191"/>
      <c r="F107" s="166" t="s">
        <v>71</v>
      </c>
      <c r="G107" s="167"/>
      <c r="H107" s="167"/>
    </row>
    <row r="108" spans="3:8" ht="20.100000000000001" customHeight="1">
      <c r="C108" s="154"/>
      <c r="D108" s="189"/>
      <c r="E108" s="191"/>
      <c r="F108" s="166" t="s">
        <v>72</v>
      </c>
      <c r="G108" s="167"/>
      <c r="H108" s="167"/>
    </row>
    <row r="109" spans="3:8" ht="20.100000000000001" customHeight="1">
      <c r="C109" s="154"/>
      <c r="D109" s="189"/>
      <c r="E109" s="191"/>
      <c r="F109" s="58"/>
      <c r="G109" s="60"/>
      <c r="H109" s="60"/>
    </row>
    <row r="110" spans="3:8" ht="20.100000000000001" customHeight="1">
      <c r="C110" s="154"/>
      <c r="D110" s="189"/>
      <c r="E110" s="191"/>
      <c r="F110" s="58"/>
      <c r="G110" s="60"/>
      <c r="H110" s="60"/>
    </row>
    <row r="111" spans="3:8" ht="20.100000000000001" customHeight="1" thickBot="1">
      <c r="C111" s="187"/>
      <c r="D111" s="190"/>
      <c r="E111" s="192"/>
      <c r="F111" s="194"/>
      <c r="G111" s="195"/>
      <c r="H111" s="195"/>
    </row>
    <row r="112" spans="3:8" ht="18" thickTop="1"/>
  </sheetData>
  <mergeCells count="116">
    <mergeCell ref="F24:H24"/>
    <mergeCell ref="F30:H30"/>
    <mergeCell ref="F31:H31"/>
    <mergeCell ref="F32:H32"/>
    <mergeCell ref="F71:H71"/>
    <mergeCell ref="F72:H72"/>
    <mergeCell ref="F16:H16"/>
    <mergeCell ref="F17:H17"/>
    <mergeCell ref="F18:H18"/>
    <mergeCell ref="F19:H19"/>
    <mergeCell ref="F20:H20"/>
    <mergeCell ref="F21:H21"/>
    <mergeCell ref="F22:H22"/>
    <mergeCell ref="F60:H60"/>
    <mergeCell ref="F108:H108"/>
    <mergeCell ref="F103:H103"/>
    <mergeCell ref="F104:H104"/>
    <mergeCell ref="F105:H105"/>
    <mergeCell ref="F106:H106"/>
    <mergeCell ref="F107:H107"/>
    <mergeCell ref="F97:H97"/>
    <mergeCell ref="F98:H98"/>
    <mergeCell ref="F99:H99"/>
    <mergeCell ref="F100:H100"/>
    <mergeCell ref="F101:H101"/>
    <mergeCell ref="F102:H102"/>
    <mergeCell ref="F93:H93"/>
    <mergeCell ref="F94:H94"/>
    <mergeCell ref="F95:H95"/>
    <mergeCell ref="F96:H96"/>
    <mergeCell ref="F23:H23"/>
    <mergeCell ref="F68:H68"/>
    <mergeCell ref="F69:H69"/>
    <mergeCell ref="F70:H70"/>
    <mergeCell ref="C3:H3"/>
    <mergeCell ref="F9:H9"/>
    <mergeCell ref="C91:C111"/>
    <mergeCell ref="D91:D111"/>
    <mergeCell ref="E91:E111"/>
    <mergeCell ref="F91:H91"/>
    <mergeCell ref="F92:H92"/>
    <mergeCell ref="F111:H111"/>
    <mergeCell ref="C10:C26"/>
    <mergeCell ref="D10:D26"/>
    <mergeCell ref="E10:E26"/>
    <mergeCell ref="F10:H10"/>
    <mergeCell ref="F11:H11"/>
    <mergeCell ref="F26:H26"/>
    <mergeCell ref="C27:C43"/>
    <mergeCell ref="D27:D43"/>
    <mergeCell ref="C62:C75"/>
    <mergeCell ref="D62:D75"/>
    <mergeCell ref="F13:H13"/>
    <mergeCell ref="F14:H14"/>
    <mergeCell ref="F15:H15"/>
    <mergeCell ref="E62:E75"/>
    <mergeCell ref="F62:H62"/>
    <mergeCell ref="F63:H63"/>
    <mergeCell ref="F64:H64"/>
    <mergeCell ref="F65:H65"/>
    <mergeCell ref="F66:H66"/>
    <mergeCell ref="F73:H73"/>
    <mergeCell ref="F67:H67"/>
    <mergeCell ref="C53:C61"/>
    <mergeCell ref="D53:D61"/>
    <mergeCell ref="E53:E61"/>
    <mergeCell ref="F53:H53"/>
    <mergeCell ref="F54:H54"/>
    <mergeCell ref="F55:H55"/>
    <mergeCell ref="F61:H61"/>
    <mergeCell ref="F56:H56"/>
    <mergeCell ref="F57:H57"/>
    <mergeCell ref="F58:H58"/>
    <mergeCell ref="F59:H59"/>
    <mergeCell ref="C76:C90"/>
    <mergeCell ref="D76:D90"/>
    <mergeCell ref="E76:E90"/>
    <mergeCell ref="F76:H76"/>
    <mergeCell ref="F77:H77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78:H78"/>
    <mergeCell ref="E27:E43"/>
    <mergeCell ref="F27:H27"/>
    <mergeCell ref="F28:H28"/>
    <mergeCell ref="F29:H29"/>
    <mergeCell ref="F43:H43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C44:C52"/>
    <mergeCell ref="D44:D52"/>
    <mergeCell ref="E44:E52"/>
    <mergeCell ref="F44:H44"/>
    <mergeCell ref="F45:H45"/>
    <mergeCell ref="F46:H46"/>
    <mergeCell ref="F47:H47"/>
    <mergeCell ref="F52:H52"/>
    <mergeCell ref="F48:H48"/>
    <mergeCell ref="F49:H49"/>
    <mergeCell ref="F50:H50"/>
    <mergeCell ref="F51:H51"/>
  </mergeCells>
  <phoneticPr fontId="2" type="noConversion"/>
  <hyperlinks>
    <hyperlink ref="D10:D26" location="'1.월별_매출정보'!A1" display="'1.월별_매출정보'!A1" xr:uid="{EEA362D1-C079-48C3-B65C-4C57408CD016}"/>
    <hyperlink ref="D27:D43" location="'2.월별_매입정보'!A1" display="'2.월별_매입정보'!A1" xr:uid="{8CA44A3F-C882-4E1B-8E17-F5CFB0DE17B2}"/>
    <hyperlink ref="D44:D52" location="'3.거래처별매출채권정보'!A1" display="'3.거래처별매출채권정보'!A1" xr:uid="{B554AC10-C4D0-4373-8253-B45A6D208B59}"/>
    <hyperlink ref="D53:D61" location="'4.거래처별매입채무정보'!A1" display="'4.거래처별매입채무정보'!A1" xr:uid="{B903DCB1-E0FF-4ADF-86B2-747F85962A93}"/>
    <hyperlink ref="D62:D75" location="'5.거래처별매출채권회수기간'!A1" display="'5.거래처별매출채권회수기간'!A1" xr:uid="{AA02DD52-5197-4B09-AF6C-8CC550F94E01}"/>
    <hyperlink ref="D76:D90" location="'6.거래처별매입채무지급기간'!A1" display="'6.거래처별매입채무지급기간'!A1" xr:uid="{30334FF3-CFA7-4859-8239-1C0D95F6F185}"/>
    <hyperlink ref="D91:D111" location="'7.분기별_매출매입정보'!A1" display="'7.분기별_매출매입정보'!A1" xr:uid="{8D49B5F5-2E61-4169-A9DD-7B8164BF6CE1}"/>
  </hyperlinks>
  <pageMargins left="0.70866141732283472" right="0.70866141732283472" top="0.74803149606299213" bottom="0.74803149606299213" header="0.31496062992125984" footer="0.31496062992125984"/>
  <pageSetup paperSize="9" scale="87" fitToHeight="0" orientation="portrait" r:id="rId1"/>
  <ignoredErrors>
    <ignoredError sqref="H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showGridLines="0" tabSelected="1" topLeftCell="B1" zoomScale="80" zoomScaleNormal="80" workbookViewId="0">
      <selection activeCell="D7" sqref="D7"/>
    </sheetView>
  </sheetViews>
  <sheetFormatPr defaultColWidth="51.5" defaultRowHeight="17.45"/>
  <cols>
    <col min="1" max="1" width="19.625" customWidth="1"/>
    <col min="2" max="2" width="15.625" bestFit="1" customWidth="1"/>
    <col min="3" max="3" width="13" customWidth="1"/>
    <col min="4" max="4" width="65.625" customWidth="1"/>
    <col min="5" max="5" width="75.625" customWidth="1"/>
    <col min="6" max="6" width="46.375" customWidth="1"/>
    <col min="7" max="7" width="8.875" customWidth="1"/>
    <col min="8" max="8" width="9" customWidth="1"/>
    <col min="9" max="9" width="17.375" customWidth="1"/>
    <col min="10" max="10" width="18.875" customWidth="1"/>
  </cols>
  <sheetData>
    <row r="1" spans="1:10" s="42" customFormat="1" ht="16.5" customHeight="1">
      <c r="A1" s="43" t="s">
        <v>73</v>
      </c>
      <c r="B1" s="44" t="s">
        <v>74</v>
      </c>
      <c r="I1" s="30" t="s">
        <v>75</v>
      </c>
      <c r="J1" t="e">
        <f ca="1">MID(CELL("filename",G6),FIND("]",CELL("filename",G6))+1,255)</f>
        <v>#VALUE!</v>
      </c>
    </row>
    <row r="2" spans="1:10" s="42" customFormat="1" ht="16.5" customHeight="1">
      <c r="A2" s="43" t="s">
        <v>76</v>
      </c>
      <c r="B2" s="44" t="s">
        <v>77</v>
      </c>
      <c r="I2"/>
      <c r="J2"/>
    </row>
    <row r="3" spans="1:10" s="42" customFormat="1" ht="16.5" customHeight="1">
      <c r="A3" s="41"/>
      <c r="I3"/>
      <c r="J3"/>
    </row>
    <row r="4" spans="1:10">
      <c r="A4" s="1" t="s">
        <v>78</v>
      </c>
      <c r="B4" s="1" t="s">
        <v>79</v>
      </c>
      <c r="C4" s="1" t="s">
        <v>80</v>
      </c>
      <c r="D4" s="13" t="s">
        <v>81</v>
      </c>
      <c r="E4" s="1" t="s">
        <v>82</v>
      </c>
      <c r="F4" s="1" t="s">
        <v>83</v>
      </c>
      <c r="G4" s="1" t="s">
        <v>84</v>
      </c>
    </row>
    <row r="5" spans="1:10" ht="16.5" customHeight="1">
      <c r="A5" s="14" t="s">
        <v>85</v>
      </c>
      <c r="B5" s="14" t="s">
        <v>13</v>
      </c>
      <c r="C5" s="14" t="s">
        <v>86</v>
      </c>
      <c r="D5" s="15" t="s">
        <v>87</v>
      </c>
      <c r="E5" s="86" t="s">
        <v>88</v>
      </c>
      <c r="F5" s="38" t="s">
        <v>89</v>
      </c>
      <c r="G5" s="67" t="s">
        <v>90</v>
      </c>
    </row>
    <row r="6" spans="1:10" ht="78" customHeight="1">
      <c r="A6" s="14" t="s">
        <v>91</v>
      </c>
      <c r="B6" s="14" t="s">
        <v>14</v>
      </c>
      <c r="C6" s="14" t="s">
        <v>92</v>
      </c>
      <c r="D6" s="15" t="s">
        <v>93</v>
      </c>
      <c r="E6" s="27" t="s">
        <v>94</v>
      </c>
      <c r="F6" s="27"/>
      <c r="G6" s="67" t="s">
        <v>90</v>
      </c>
    </row>
    <row r="7" spans="1:10" ht="135.75" customHeight="1">
      <c r="A7" s="39" t="s">
        <v>95</v>
      </c>
      <c r="B7" s="39" t="s">
        <v>15</v>
      </c>
      <c r="C7" s="39" t="s">
        <v>96</v>
      </c>
      <c r="D7" s="40" t="s">
        <v>97</v>
      </c>
      <c r="E7" s="85" t="s">
        <v>98</v>
      </c>
      <c r="F7" s="27"/>
      <c r="G7" s="67"/>
    </row>
    <row r="8" spans="1:10" ht="39.75" customHeight="1">
      <c r="A8" s="24" t="s">
        <v>99</v>
      </c>
      <c r="B8" s="2" t="s">
        <v>100</v>
      </c>
      <c r="C8" s="2" t="s">
        <v>101</v>
      </c>
      <c r="D8" s="4" t="s">
        <v>102</v>
      </c>
      <c r="E8" s="3"/>
      <c r="F8" s="79" t="s">
        <v>103</v>
      </c>
      <c r="G8" s="63" t="s">
        <v>90</v>
      </c>
    </row>
    <row r="9" spans="1:10" ht="181.5" customHeight="1">
      <c r="A9" s="2" t="s">
        <v>104</v>
      </c>
      <c r="B9" s="2" t="s">
        <v>105</v>
      </c>
      <c r="C9" s="2" t="s">
        <v>106</v>
      </c>
      <c r="D9" s="4" t="s">
        <v>107</v>
      </c>
      <c r="E9" s="4" t="s">
        <v>108</v>
      </c>
      <c r="F9" s="80" t="s">
        <v>103</v>
      </c>
      <c r="G9" s="63" t="s">
        <v>90</v>
      </c>
    </row>
    <row r="10" spans="1:10" ht="96" customHeight="1">
      <c r="A10" s="81" t="s">
        <v>109</v>
      </c>
      <c r="B10" s="81" t="s">
        <v>18</v>
      </c>
      <c r="C10" s="81" t="s">
        <v>110</v>
      </c>
      <c r="D10" s="135" t="s">
        <v>111</v>
      </c>
      <c r="E10" s="135" t="s">
        <v>112</v>
      </c>
      <c r="F10" s="80" t="s">
        <v>103</v>
      </c>
      <c r="G10" s="63"/>
    </row>
    <row r="11" spans="1:10" ht="75" customHeight="1">
      <c r="A11" s="81" t="s">
        <v>113</v>
      </c>
      <c r="B11" s="81" t="s">
        <v>114</v>
      </c>
      <c r="C11" s="81" t="s">
        <v>115</v>
      </c>
      <c r="D11" s="135" t="s">
        <v>116</v>
      </c>
      <c r="E11" s="136" t="s">
        <v>117</v>
      </c>
      <c r="F11" s="79" t="s">
        <v>103</v>
      </c>
      <c r="G11" s="63"/>
    </row>
    <row r="12" spans="1:10" ht="48.75" customHeight="1">
      <c r="A12" s="137" t="s">
        <v>118</v>
      </c>
      <c r="B12" s="137" t="s">
        <v>119</v>
      </c>
      <c r="C12" s="81" t="s">
        <v>115</v>
      </c>
      <c r="D12" s="135" t="s">
        <v>120</v>
      </c>
      <c r="E12" s="137"/>
      <c r="F12" s="79" t="s">
        <v>103</v>
      </c>
      <c r="G12" s="63"/>
    </row>
    <row r="13" spans="1:10" ht="32.25" customHeight="1">
      <c r="A13" s="137" t="s">
        <v>121</v>
      </c>
      <c r="B13" s="137" t="s">
        <v>122</v>
      </c>
      <c r="C13" s="81" t="s">
        <v>123</v>
      </c>
      <c r="D13" s="135" t="s">
        <v>124</v>
      </c>
      <c r="E13" s="137" t="s">
        <v>125</v>
      </c>
      <c r="F13" s="79" t="s">
        <v>103</v>
      </c>
      <c r="G13" s="63" t="s">
        <v>90</v>
      </c>
    </row>
    <row r="14" spans="1:10" ht="39" customHeight="1">
      <c r="A14" s="137" t="s">
        <v>126</v>
      </c>
      <c r="B14" s="137" t="s">
        <v>127</v>
      </c>
      <c r="C14" s="81" t="s">
        <v>128</v>
      </c>
      <c r="D14" s="135" t="s">
        <v>129</v>
      </c>
      <c r="E14" s="136" t="s">
        <v>130</v>
      </c>
      <c r="F14" s="79" t="s">
        <v>103</v>
      </c>
      <c r="G14" s="63"/>
    </row>
    <row r="15" spans="1:10" ht="48" customHeight="1">
      <c r="A15" s="137" t="s">
        <v>131</v>
      </c>
      <c r="B15" s="137" t="s">
        <v>23</v>
      </c>
      <c r="C15" s="81" t="s">
        <v>128</v>
      </c>
      <c r="D15" s="135" t="s">
        <v>132</v>
      </c>
      <c r="E15" s="136" t="s">
        <v>133</v>
      </c>
      <c r="F15" s="79" t="s">
        <v>103</v>
      </c>
      <c r="G15" s="63"/>
    </row>
    <row r="16" spans="1:10" ht="54" customHeight="1">
      <c r="A16" s="137" t="s">
        <v>134</v>
      </c>
      <c r="B16" s="137" t="s">
        <v>24</v>
      </c>
      <c r="C16" s="81" t="s">
        <v>115</v>
      </c>
      <c r="D16" s="135" t="s">
        <v>135</v>
      </c>
      <c r="E16" s="137" t="s">
        <v>136</v>
      </c>
      <c r="F16" s="79" t="s">
        <v>103</v>
      </c>
      <c r="G16" s="63"/>
    </row>
    <row r="17" spans="1:7" ht="54" customHeight="1">
      <c r="A17" s="81" t="s">
        <v>137</v>
      </c>
      <c r="B17" s="81" t="s">
        <v>138</v>
      </c>
      <c r="C17" s="81" t="s">
        <v>115</v>
      </c>
      <c r="D17" s="135" t="s">
        <v>139</v>
      </c>
      <c r="E17" s="136" t="s">
        <v>140</v>
      </c>
      <c r="F17" s="79" t="s">
        <v>103</v>
      </c>
      <c r="G17" s="63"/>
    </row>
    <row r="18" spans="1:7" ht="54" customHeight="1">
      <c r="A18" s="81" t="s">
        <v>141</v>
      </c>
      <c r="B18" s="81" t="s">
        <v>142</v>
      </c>
      <c r="C18" s="81" t="s">
        <v>115</v>
      </c>
      <c r="D18" s="135" t="s">
        <v>143</v>
      </c>
      <c r="E18" s="136" t="s">
        <v>144</v>
      </c>
      <c r="F18" s="79" t="s">
        <v>103</v>
      </c>
      <c r="G18" s="82"/>
    </row>
    <row r="19" spans="1:7" ht="84.75" customHeight="1">
      <c r="A19" s="137" t="s">
        <v>145</v>
      </c>
      <c r="B19" s="137" t="s">
        <v>146</v>
      </c>
      <c r="C19" s="81" t="s">
        <v>115</v>
      </c>
      <c r="D19" s="135" t="s">
        <v>147</v>
      </c>
      <c r="E19" s="136" t="s">
        <v>148</v>
      </c>
      <c r="F19" s="28" t="s">
        <v>149</v>
      </c>
      <c r="G19" s="82"/>
    </row>
  </sheetData>
  <phoneticPr fontId="2" type="noConversion"/>
  <hyperlinks>
    <hyperlink ref="I1" location="'0.제공테이블'!A1" display="목차" xr:uid="{00000000-0004-0000-0200-000000000000}"/>
  </hyperlinks>
  <pageMargins left="0.7" right="0.7" top="0.75" bottom="0.75" header="0.3" footer="0.3"/>
  <pageSetup paperSize="9" scale="35" orientation="portrait" r:id="rId1"/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showGridLines="0" zoomScale="80" zoomScaleNormal="80" workbookViewId="0">
      <selection activeCell="E21" sqref="E21"/>
    </sheetView>
  </sheetViews>
  <sheetFormatPr defaultColWidth="88.875" defaultRowHeight="17.45"/>
  <cols>
    <col min="1" max="1" width="19.625" customWidth="1"/>
    <col min="2" max="2" width="15.625" bestFit="1" customWidth="1"/>
    <col min="3" max="3" width="15.125" customWidth="1"/>
    <col min="4" max="4" width="65.625" customWidth="1"/>
    <col min="5" max="5" width="75.625" customWidth="1"/>
    <col min="6" max="6" width="47.75" customWidth="1"/>
    <col min="7" max="7" width="8.875" customWidth="1"/>
    <col min="8" max="8" width="10.125" customWidth="1"/>
    <col min="9" max="9" width="11.75" bestFit="1" customWidth="1"/>
    <col min="10" max="10" width="36.875" customWidth="1"/>
  </cols>
  <sheetData>
    <row r="1" spans="1:10">
      <c r="A1" s="43" t="s">
        <v>73</v>
      </c>
      <c r="B1" s="45" t="s">
        <v>150</v>
      </c>
      <c r="G1" s="42"/>
      <c r="I1" s="30" t="s">
        <v>75</v>
      </c>
      <c r="J1" t="e">
        <f ca="1">MID(CELL("filename",I3),FIND("]",CELL("filename",I3))+1,255)</f>
        <v>#VALUE!</v>
      </c>
    </row>
    <row r="2" spans="1:10" s="41" customFormat="1" ht="16.5" customHeight="1">
      <c r="A2" s="46" t="s">
        <v>151</v>
      </c>
      <c r="B2" s="45" t="s">
        <v>152</v>
      </c>
      <c r="G2" s="42"/>
      <c r="H2" s="68"/>
      <c r="I2"/>
      <c r="J2"/>
    </row>
    <row r="3" spans="1:10" s="41" customFormat="1" ht="16.5" customHeight="1">
      <c r="G3" s="42"/>
      <c r="H3" s="68"/>
      <c r="I3"/>
      <c r="J3"/>
    </row>
    <row r="4" spans="1:10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29"/>
    </row>
    <row r="5" spans="1:10" ht="16.5" customHeight="1">
      <c r="A5" s="14" t="s">
        <v>85</v>
      </c>
      <c r="B5" s="14" t="s">
        <v>13</v>
      </c>
      <c r="C5" s="14" t="s">
        <v>86</v>
      </c>
      <c r="D5" s="14" t="s">
        <v>153</v>
      </c>
      <c r="E5" s="86" t="s">
        <v>88</v>
      </c>
      <c r="F5" s="38" t="s">
        <v>89</v>
      </c>
      <c r="G5" s="67" t="s">
        <v>90</v>
      </c>
      <c r="H5" s="69"/>
    </row>
    <row r="6" spans="1:10" ht="78" customHeight="1">
      <c r="A6" s="14" t="s">
        <v>91</v>
      </c>
      <c r="B6" s="14" t="s">
        <v>14</v>
      </c>
      <c r="C6" s="14" t="s">
        <v>92</v>
      </c>
      <c r="D6" s="14" t="s">
        <v>154</v>
      </c>
      <c r="E6" s="27" t="s">
        <v>155</v>
      </c>
      <c r="F6" s="27"/>
      <c r="G6" s="67" t="s">
        <v>90</v>
      </c>
      <c r="H6" s="70"/>
      <c r="I6" s="71"/>
    </row>
    <row r="7" spans="1:10" ht="135.75" customHeight="1">
      <c r="A7" s="39" t="s">
        <v>95</v>
      </c>
      <c r="B7" s="39" t="s">
        <v>15</v>
      </c>
      <c r="C7" s="39" t="s">
        <v>96</v>
      </c>
      <c r="D7" s="40" t="s">
        <v>97</v>
      </c>
      <c r="E7" s="85" t="s">
        <v>98</v>
      </c>
      <c r="F7" s="27"/>
      <c r="G7" s="67"/>
    </row>
    <row r="8" spans="1:10" ht="39" customHeight="1">
      <c r="A8" s="144" t="s">
        <v>99</v>
      </c>
      <c r="B8" s="81" t="s">
        <v>156</v>
      </c>
      <c r="C8" s="81" t="s">
        <v>101</v>
      </c>
      <c r="D8" s="135" t="s">
        <v>157</v>
      </c>
      <c r="E8" s="141"/>
      <c r="F8" s="139" t="s">
        <v>149</v>
      </c>
      <c r="G8" s="140" t="s">
        <v>90</v>
      </c>
      <c r="H8" s="70"/>
    </row>
    <row r="9" spans="1:10" ht="172.9" customHeight="1">
      <c r="A9" s="81" t="s">
        <v>104</v>
      </c>
      <c r="B9" s="81" t="s">
        <v>158</v>
      </c>
      <c r="C9" s="81" t="s">
        <v>106</v>
      </c>
      <c r="D9" s="135" t="s">
        <v>159</v>
      </c>
      <c r="E9" s="135" t="s">
        <v>108</v>
      </c>
      <c r="F9" s="139" t="s">
        <v>149</v>
      </c>
      <c r="G9" s="140" t="s">
        <v>90</v>
      </c>
      <c r="H9" s="70"/>
    </row>
    <row r="10" spans="1:10" ht="110.25" customHeight="1">
      <c r="A10" s="81" t="s">
        <v>160</v>
      </c>
      <c r="B10" s="81" t="s">
        <v>31</v>
      </c>
      <c r="C10" s="81" t="s">
        <v>110</v>
      </c>
      <c r="D10" s="135" t="s">
        <v>161</v>
      </c>
      <c r="E10" s="135" t="s">
        <v>112</v>
      </c>
      <c r="F10" s="139" t="s">
        <v>103</v>
      </c>
      <c r="G10" s="140"/>
      <c r="H10" s="70"/>
    </row>
    <row r="11" spans="1:10" ht="80.25" customHeight="1">
      <c r="A11" s="81" t="s">
        <v>113</v>
      </c>
      <c r="B11" s="81" t="s">
        <v>114</v>
      </c>
      <c r="C11" s="81" t="s">
        <v>162</v>
      </c>
      <c r="D11" s="135" t="s">
        <v>163</v>
      </c>
      <c r="E11" s="136" t="s">
        <v>164</v>
      </c>
      <c r="F11" s="139" t="s">
        <v>149</v>
      </c>
      <c r="G11" s="140"/>
      <c r="H11" s="70"/>
    </row>
    <row r="12" spans="1:10" ht="43.5" customHeight="1">
      <c r="A12" s="137" t="s">
        <v>118</v>
      </c>
      <c r="B12" s="137" t="s">
        <v>119</v>
      </c>
      <c r="C12" s="81" t="s">
        <v>162</v>
      </c>
      <c r="D12" s="135" t="s">
        <v>165</v>
      </c>
      <c r="E12" s="141"/>
      <c r="F12" s="139" t="s">
        <v>149</v>
      </c>
      <c r="G12" s="140"/>
      <c r="H12" s="70"/>
    </row>
    <row r="13" spans="1:10" ht="34.5" customHeight="1">
      <c r="A13" s="137" t="s">
        <v>121</v>
      </c>
      <c r="B13" s="137" t="s">
        <v>166</v>
      </c>
      <c r="C13" s="81" t="s">
        <v>167</v>
      </c>
      <c r="D13" s="135" t="s">
        <v>168</v>
      </c>
      <c r="E13" s="137" t="s">
        <v>125</v>
      </c>
      <c r="F13" s="139" t="s">
        <v>149</v>
      </c>
      <c r="G13" s="140" t="s">
        <v>90</v>
      </c>
      <c r="H13" s="70"/>
    </row>
    <row r="14" spans="1:10" ht="52.5" customHeight="1">
      <c r="A14" s="137" t="s">
        <v>126</v>
      </c>
      <c r="B14" s="137" t="s">
        <v>127</v>
      </c>
      <c r="C14" s="81" t="s">
        <v>128</v>
      </c>
      <c r="D14" s="135" t="s">
        <v>169</v>
      </c>
      <c r="E14" s="136" t="s">
        <v>130</v>
      </c>
      <c r="F14" s="142" t="s">
        <v>103</v>
      </c>
      <c r="G14" s="140"/>
      <c r="H14" s="70"/>
    </row>
    <row r="15" spans="1:10" ht="57" customHeight="1">
      <c r="A15" s="137" t="s">
        <v>131</v>
      </c>
      <c r="B15" s="137" t="s">
        <v>23</v>
      </c>
      <c r="C15" s="81" t="s">
        <v>128</v>
      </c>
      <c r="D15" s="135" t="s">
        <v>170</v>
      </c>
      <c r="E15" s="136" t="s">
        <v>133</v>
      </c>
      <c r="F15" s="142" t="s">
        <v>103</v>
      </c>
      <c r="G15" s="140"/>
      <c r="H15" s="70"/>
    </row>
    <row r="16" spans="1:10" ht="45" customHeight="1">
      <c r="A16" s="137" t="s">
        <v>134</v>
      </c>
      <c r="B16" s="137" t="s">
        <v>24</v>
      </c>
      <c r="C16" s="81" t="s">
        <v>115</v>
      </c>
      <c r="D16" s="135" t="s">
        <v>171</v>
      </c>
      <c r="E16" s="137" t="s">
        <v>136</v>
      </c>
      <c r="F16" s="142" t="s">
        <v>103</v>
      </c>
      <c r="G16" s="140"/>
      <c r="H16" s="70"/>
    </row>
    <row r="17" spans="1:8" ht="49.5" customHeight="1">
      <c r="A17" s="81" t="s">
        <v>137</v>
      </c>
      <c r="B17" s="81" t="s">
        <v>138</v>
      </c>
      <c r="C17" s="81" t="s">
        <v>115</v>
      </c>
      <c r="D17" s="135" t="s">
        <v>172</v>
      </c>
      <c r="E17" s="136" t="s">
        <v>173</v>
      </c>
      <c r="F17" s="142" t="s">
        <v>103</v>
      </c>
      <c r="G17" s="140"/>
      <c r="H17" s="70"/>
    </row>
    <row r="18" spans="1:8" ht="49.5" customHeight="1">
      <c r="A18" s="81" t="s">
        <v>141</v>
      </c>
      <c r="B18" s="81" t="s">
        <v>142</v>
      </c>
      <c r="C18" s="81" t="s">
        <v>115</v>
      </c>
      <c r="D18" s="135" t="s">
        <v>174</v>
      </c>
      <c r="E18" s="136" t="s">
        <v>144</v>
      </c>
      <c r="F18" s="142" t="s">
        <v>103</v>
      </c>
      <c r="G18" s="143"/>
      <c r="H18" s="70"/>
    </row>
    <row r="19" spans="1:8" ht="83.25" customHeight="1">
      <c r="A19" s="137" t="s">
        <v>145</v>
      </c>
      <c r="B19" s="137" t="s">
        <v>146</v>
      </c>
      <c r="C19" s="81" t="s">
        <v>115</v>
      </c>
      <c r="D19" s="135" t="s">
        <v>175</v>
      </c>
      <c r="E19" s="136" t="s">
        <v>148</v>
      </c>
      <c r="F19" s="139" t="s">
        <v>149</v>
      </c>
      <c r="G19" s="143"/>
    </row>
    <row r="20" spans="1:8">
      <c r="A20" s="5"/>
      <c r="B20" s="5"/>
      <c r="C20" s="71"/>
      <c r="D20" s="78"/>
      <c r="F20" s="70"/>
      <c r="G20" s="75"/>
    </row>
  </sheetData>
  <phoneticPr fontId="2" type="noConversion"/>
  <hyperlinks>
    <hyperlink ref="I1" location="'0.제공테이블'!A1" display="목차" xr:uid="{00000000-0004-0000-0300-00000000000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showGridLines="0" topLeftCell="B1" zoomScale="80" zoomScaleNormal="80" workbookViewId="0">
      <selection activeCell="D8" sqref="D8"/>
    </sheetView>
  </sheetViews>
  <sheetFormatPr defaultColWidth="51" defaultRowHeight="17.45"/>
  <cols>
    <col min="1" max="1" width="19.625" customWidth="1"/>
    <col min="2" max="2" width="15.25" bestFit="1" customWidth="1"/>
    <col min="3" max="3" width="11.625" bestFit="1" customWidth="1"/>
    <col min="4" max="4" width="65.625" customWidth="1"/>
    <col min="5" max="5" width="75.625" customWidth="1"/>
    <col min="6" max="6" width="49.5" customWidth="1"/>
    <col min="7" max="7" width="8.875" style="75" customWidth="1"/>
    <col min="8" max="8" width="7.75" customWidth="1"/>
    <col min="9" max="9" width="15.875" customWidth="1"/>
  </cols>
  <sheetData>
    <row r="1" spans="1:10">
      <c r="A1" s="43" t="s">
        <v>73</v>
      </c>
      <c r="B1" s="45" t="s">
        <v>176</v>
      </c>
      <c r="G1" s="41"/>
      <c r="I1" s="30" t="s">
        <v>75</v>
      </c>
      <c r="J1" t="e">
        <f ca="1">MID(CELL("filename",I4),FIND("]",CELL("filename",I4))+1,255)</f>
        <v>#VALUE!</v>
      </c>
    </row>
    <row r="2" spans="1:10">
      <c r="A2" s="46" t="s">
        <v>151</v>
      </c>
      <c r="B2" s="45" t="s">
        <v>177</v>
      </c>
      <c r="G2" s="41"/>
      <c r="I2" s="72"/>
    </row>
    <row r="3" spans="1:10">
      <c r="G3" s="41"/>
    </row>
    <row r="4" spans="1:10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29"/>
    </row>
    <row r="5" spans="1:10" ht="16.5" customHeight="1">
      <c r="A5" s="14" t="s">
        <v>178</v>
      </c>
      <c r="B5" s="14" t="s">
        <v>13</v>
      </c>
      <c r="C5" s="14" t="s">
        <v>86</v>
      </c>
      <c r="D5" s="14" t="s">
        <v>153</v>
      </c>
      <c r="E5" s="86" t="s">
        <v>88</v>
      </c>
      <c r="F5" s="38" t="s">
        <v>89</v>
      </c>
      <c r="G5" s="67" t="s">
        <v>90</v>
      </c>
      <c r="H5" s="69"/>
    </row>
    <row r="6" spans="1:10" ht="94.5" customHeight="1">
      <c r="A6" s="145" t="s">
        <v>179</v>
      </c>
      <c r="B6" s="145" t="s">
        <v>14</v>
      </c>
      <c r="C6" s="145" t="s">
        <v>92</v>
      </c>
      <c r="D6" s="145" t="s">
        <v>154</v>
      </c>
      <c r="E6" s="146" t="s">
        <v>155</v>
      </c>
      <c r="F6" s="146"/>
      <c r="G6" s="147" t="s">
        <v>90</v>
      </c>
      <c r="H6" s="70"/>
    </row>
    <row r="7" spans="1:10" ht="135.75" customHeight="1">
      <c r="A7" s="148" t="s">
        <v>95</v>
      </c>
      <c r="B7" s="148" t="s">
        <v>15</v>
      </c>
      <c r="C7" s="148" t="s">
        <v>96</v>
      </c>
      <c r="D7" s="149" t="s">
        <v>97</v>
      </c>
      <c r="E7" s="150" t="s">
        <v>98</v>
      </c>
      <c r="F7" s="146"/>
      <c r="G7" s="147"/>
    </row>
    <row r="8" spans="1:10" ht="152.25" customHeight="1">
      <c r="A8" s="81" t="s">
        <v>180</v>
      </c>
      <c r="B8" s="81" t="s">
        <v>105</v>
      </c>
      <c r="C8" s="81" t="s">
        <v>106</v>
      </c>
      <c r="D8" s="135" t="s">
        <v>181</v>
      </c>
      <c r="E8" s="135" t="s">
        <v>108</v>
      </c>
      <c r="F8" s="139" t="s">
        <v>149</v>
      </c>
      <c r="G8" s="140" t="s">
        <v>90</v>
      </c>
      <c r="H8" s="70"/>
    </row>
    <row r="9" spans="1:10" ht="135" customHeight="1">
      <c r="A9" s="81" t="s">
        <v>160</v>
      </c>
      <c r="B9" s="81" t="s">
        <v>44</v>
      </c>
      <c r="C9" s="81" t="s">
        <v>110</v>
      </c>
      <c r="D9" s="135" t="s">
        <v>111</v>
      </c>
      <c r="E9" s="135" t="s">
        <v>112</v>
      </c>
      <c r="F9" s="139" t="s">
        <v>103</v>
      </c>
      <c r="G9" s="140"/>
      <c r="H9" s="70"/>
    </row>
    <row r="10" spans="1:10" ht="39.75" customHeight="1">
      <c r="A10" s="81" t="s">
        <v>99</v>
      </c>
      <c r="B10" s="81" t="s">
        <v>182</v>
      </c>
      <c r="C10" s="81" t="s">
        <v>101</v>
      </c>
      <c r="D10" s="135" t="s">
        <v>183</v>
      </c>
      <c r="E10" s="81"/>
      <c r="F10" s="139" t="s">
        <v>149</v>
      </c>
      <c r="G10" s="140" t="s">
        <v>90</v>
      </c>
      <c r="H10" s="70"/>
    </row>
    <row r="11" spans="1:10" ht="55.5" customHeight="1">
      <c r="A11" s="81" t="s">
        <v>184</v>
      </c>
      <c r="B11" s="81" t="s">
        <v>185</v>
      </c>
      <c r="C11" s="81" t="s">
        <v>115</v>
      </c>
      <c r="D11" s="135" t="s">
        <v>186</v>
      </c>
      <c r="E11" s="136" t="s">
        <v>187</v>
      </c>
      <c r="F11" s="139" t="s">
        <v>149</v>
      </c>
      <c r="G11" s="140"/>
      <c r="H11" s="70"/>
    </row>
    <row r="12" spans="1:10" ht="51" customHeight="1">
      <c r="A12" s="81" t="s">
        <v>188</v>
      </c>
      <c r="B12" s="81" t="s">
        <v>189</v>
      </c>
      <c r="C12" s="81" t="s">
        <v>115</v>
      </c>
      <c r="D12" s="135" t="s">
        <v>190</v>
      </c>
      <c r="E12" s="137"/>
      <c r="F12" s="139" t="s">
        <v>149</v>
      </c>
      <c r="G12" s="140"/>
      <c r="H12" s="70"/>
    </row>
    <row r="13" spans="1:10">
      <c r="G13" s="74"/>
    </row>
  </sheetData>
  <phoneticPr fontId="2" type="noConversion"/>
  <hyperlinks>
    <hyperlink ref="I1" location="'0.제공테이블'!A1" display="목차" xr:uid="{00000000-0004-0000-04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showGridLines="0" topLeftCell="B8" zoomScale="80" zoomScaleNormal="80" workbookViewId="0">
      <selection activeCell="F9" sqref="F9"/>
    </sheetView>
  </sheetViews>
  <sheetFormatPr defaultColWidth="50" defaultRowHeight="17.45"/>
  <cols>
    <col min="1" max="1" width="19.625" customWidth="1"/>
    <col min="2" max="2" width="15.25" bestFit="1" customWidth="1"/>
    <col min="3" max="3" width="11.625" bestFit="1" customWidth="1"/>
    <col min="4" max="4" width="65.625" customWidth="1"/>
    <col min="5" max="5" width="75.625" customWidth="1"/>
    <col min="6" max="6" width="51.875" customWidth="1"/>
    <col min="7" max="7" width="8.875" customWidth="1"/>
    <col min="8" max="8" width="11.5" customWidth="1"/>
    <col min="9" max="9" width="15" customWidth="1"/>
  </cols>
  <sheetData>
    <row r="1" spans="1:10">
      <c r="A1" s="43" t="s">
        <v>191</v>
      </c>
      <c r="B1" s="45" t="s">
        <v>192</v>
      </c>
      <c r="G1" s="42"/>
      <c r="I1" s="30" t="s">
        <v>75</v>
      </c>
      <c r="J1" t="e">
        <f ca="1">MID(CELL("filename",I4),FIND("]",CELL("filename",I4))+1,255)</f>
        <v>#VALUE!</v>
      </c>
    </row>
    <row r="2" spans="1:10">
      <c r="A2" s="46" t="s">
        <v>151</v>
      </c>
      <c r="B2" s="45" t="s">
        <v>193</v>
      </c>
      <c r="G2" s="42"/>
      <c r="I2" s="72"/>
    </row>
    <row r="3" spans="1:10">
      <c r="G3" s="42"/>
    </row>
    <row r="4" spans="1:10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29"/>
    </row>
    <row r="5" spans="1:10" ht="16.5" customHeight="1">
      <c r="A5" s="14" t="s">
        <v>85</v>
      </c>
      <c r="B5" s="14" t="s">
        <v>13</v>
      </c>
      <c r="C5" s="14" t="s">
        <v>86</v>
      </c>
      <c r="D5" s="14" t="s">
        <v>153</v>
      </c>
      <c r="E5" s="86" t="s">
        <v>88</v>
      </c>
      <c r="F5" s="38" t="s">
        <v>89</v>
      </c>
      <c r="G5" s="67" t="s">
        <v>90</v>
      </c>
      <c r="H5" s="31"/>
    </row>
    <row r="6" spans="1:10" ht="94.5" customHeight="1">
      <c r="A6" s="14" t="s">
        <v>179</v>
      </c>
      <c r="B6" s="14" t="s">
        <v>14</v>
      </c>
      <c r="C6" s="14" t="s">
        <v>92</v>
      </c>
      <c r="D6" s="14" t="s">
        <v>154</v>
      </c>
      <c r="E6" s="146" t="s">
        <v>155</v>
      </c>
      <c r="F6" s="146"/>
      <c r="G6" s="67" t="s">
        <v>90</v>
      </c>
      <c r="H6" s="31"/>
    </row>
    <row r="7" spans="1:10" ht="135.75" customHeight="1">
      <c r="A7" s="148" t="s">
        <v>95</v>
      </c>
      <c r="B7" s="148" t="s">
        <v>15</v>
      </c>
      <c r="C7" s="148" t="s">
        <v>96</v>
      </c>
      <c r="D7" s="149" t="s">
        <v>97</v>
      </c>
      <c r="E7" s="150" t="s">
        <v>98</v>
      </c>
      <c r="F7" s="146"/>
      <c r="G7" s="147"/>
    </row>
    <row r="8" spans="1:10" ht="150" customHeight="1">
      <c r="A8" s="81" t="s">
        <v>180</v>
      </c>
      <c r="B8" s="81" t="s">
        <v>158</v>
      </c>
      <c r="C8" s="81" t="s">
        <v>194</v>
      </c>
      <c r="D8" s="81" t="s">
        <v>195</v>
      </c>
      <c r="E8" s="135" t="s">
        <v>108</v>
      </c>
      <c r="F8" s="139" t="s">
        <v>149</v>
      </c>
      <c r="G8" s="140" t="s">
        <v>90</v>
      </c>
      <c r="H8" s="33"/>
    </row>
    <row r="9" spans="1:10" ht="141" customHeight="1">
      <c r="A9" s="81" t="s">
        <v>160</v>
      </c>
      <c r="B9" s="81" t="s">
        <v>53</v>
      </c>
      <c r="C9" s="81" t="s">
        <v>110</v>
      </c>
      <c r="D9" s="81" t="s">
        <v>196</v>
      </c>
      <c r="E9" s="135" t="s">
        <v>112</v>
      </c>
      <c r="F9" s="139" t="s">
        <v>103</v>
      </c>
      <c r="G9" s="140"/>
      <c r="H9" s="33"/>
    </row>
    <row r="10" spans="1:10" ht="42" customHeight="1">
      <c r="A10" s="81" t="s">
        <v>99</v>
      </c>
      <c r="B10" s="81" t="s">
        <v>197</v>
      </c>
      <c r="C10" s="81" t="s">
        <v>101</v>
      </c>
      <c r="D10" s="135" t="s">
        <v>198</v>
      </c>
      <c r="E10" s="81"/>
      <c r="F10" s="139" t="s">
        <v>149</v>
      </c>
      <c r="G10" s="140" t="s">
        <v>90</v>
      </c>
      <c r="H10" s="76"/>
    </row>
    <row r="11" spans="1:10" ht="42" customHeight="1">
      <c r="A11" s="81" t="s">
        <v>199</v>
      </c>
      <c r="B11" s="81" t="s">
        <v>200</v>
      </c>
      <c r="C11" s="81" t="s">
        <v>162</v>
      </c>
      <c r="D11" s="135" t="s">
        <v>201</v>
      </c>
      <c r="E11" s="136" t="s">
        <v>202</v>
      </c>
      <c r="F11" s="139" t="s">
        <v>149</v>
      </c>
      <c r="G11" s="140"/>
      <c r="H11" s="76"/>
    </row>
    <row r="12" spans="1:10" ht="42" customHeight="1">
      <c r="A12" s="81" t="s">
        <v>203</v>
      </c>
      <c r="B12" s="137" t="s">
        <v>204</v>
      </c>
      <c r="C12" s="81" t="s">
        <v>115</v>
      </c>
      <c r="D12" s="135" t="s">
        <v>205</v>
      </c>
      <c r="E12" s="137"/>
      <c r="F12" s="139" t="s">
        <v>149</v>
      </c>
      <c r="G12" s="140"/>
      <c r="H12" s="76"/>
    </row>
    <row r="13" spans="1:10">
      <c r="G13" s="77"/>
    </row>
  </sheetData>
  <phoneticPr fontId="2" type="noConversion"/>
  <hyperlinks>
    <hyperlink ref="I1" location="'0.제공테이블'!A1" display="목차" xr:uid="{00000000-0004-0000-05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showGridLines="0" topLeftCell="B1" zoomScale="80" zoomScaleNormal="80" workbookViewId="0">
      <selection activeCell="F4" sqref="B4:F16"/>
    </sheetView>
  </sheetViews>
  <sheetFormatPr defaultColWidth="51" defaultRowHeight="17.45"/>
  <cols>
    <col min="1" max="1" width="19.625" customWidth="1"/>
    <col min="2" max="2" width="15.25" bestFit="1" customWidth="1"/>
    <col min="3" max="3" width="11.625" bestFit="1" customWidth="1"/>
    <col min="4" max="4" width="65.625" customWidth="1"/>
    <col min="5" max="5" width="75.625" customWidth="1"/>
    <col min="6" max="6" width="48.625" customWidth="1"/>
    <col min="7" max="8" width="8.25" customWidth="1"/>
    <col min="9" max="9" width="13.625" customWidth="1"/>
  </cols>
  <sheetData>
    <row r="1" spans="1:10">
      <c r="A1" s="43" t="s">
        <v>191</v>
      </c>
      <c r="B1" s="45" t="s">
        <v>206</v>
      </c>
      <c r="I1" s="30" t="s">
        <v>75</v>
      </c>
      <c r="J1" t="e">
        <f ca="1">MID(CELL("filename",I4),FIND("]",CELL("filename",I4))+1,255)</f>
        <v>#VALUE!</v>
      </c>
    </row>
    <row r="2" spans="1:10">
      <c r="A2" s="46" t="s">
        <v>151</v>
      </c>
      <c r="B2" s="45" t="s">
        <v>207</v>
      </c>
    </row>
    <row r="4" spans="1:10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29"/>
    </row>
    <row r="5" spans="1:10" ht="16.5" customHeight="1">
      <c r="A5" s="14" t="s">
        <v>85</v>
      </c>
      <c r="B5" s="14" t="s">
        <v>13</v>
      </c>
      <c r="C5" s="14" t="s">
        <v>86</v>
      </c>
      <c r="D5" s="14" t="s">
        <v>153</v>
      </c>
      <c r="E5" s="86" t="s">
        <v>88</v>
      </c>
      <c r="F5" s="38" t="s">
        <v>208</v>
      </c>
      <c r="G5" s="67" t="s">
        <v>90</v>
      </c>
      <c r="H5" s="31"/>
    </row>
    <row r="6" spans="1:10" ht="94.5" customHeight="1">
      <c r="A6" s="14" t="s">
        <v>179</v>
      </c>
      <c r="B6" s="14" t="s">
        <v>14</v>
      </c>
      <c r="C6" s="14" t="s">
        <v>92</v>
      </c>
      <c r="D6" s="14" t="s">
        <v>154</v>
      </c>
      <c r="E6" s="146" t="s">
        <v>209</v>
      </c>
      <c r="F6" s="146"/>
      <c r="G6" s="67" t="s">
        <v>90</v>
      </c>
      <c r="H6" s="31"/>
    </row>
    <row r="7" spans="1:10" ht="135.75" customHeight="1">
      <c r="A7" s="39" t="s">
        <v>95</v>
      </c>
      <c r="B7" s="39" t="s">
        <v>15</v>
      </c>
      <c r="C7" s="39" t="s">
        <v>96</v>
      </c>
      <c r="D7" s="40" t="s">
        <v>97</v>
      </c>
      <c r="E7" s="86" t="s">
        <v>98</v>
      </c>
      <c r="F7" s="27"/>
      <c r="G7" s="67"/>
    </row>
    <row r="8" spans="1:10" ht="51.75" customHeight="1">
      <c r="A8" s="24" t="s">
        <v>210</v>
      </c>
      <c r="B8" s="24" t="s">
        <v>211</v>
      </c>
      <c r="C8" s="24" t="s">
        <v>212</v>
      </c>
      <c r="D8" s="25" t="s">
        <v>213</v>
      </c>
      <c r="E8" s="35" t="s">
        <v>214</v>
      </c>
      <c r="F8" s="34" t="s">
        <v>149</v>
      </c>
      <c r="G8" s="84" t="s">
        <v>90</v>
      </c>
      <c r="H8" s="32"/>
    </row>
    <row r="9" spans="1:10" ht="52.5" customHeight="1">
      <c r="A9" s="24" t="s">
        <v>215</v>
      </c>
      <c r="B9" s="24" t="s">
        <v>43</v>
      </c>
      <c r="C9" s="24" t="s">
        <v>212</v>
      </c>
      <c r="D9" s="25" t="s">
        <v>216</v>
      </c>
      <c r="E9" s="35" t="s">
        <v>217</v>
      </c>
      <c r="F9" s="34" t="s">
        <v>149</v>
      </c>
      <c r="G9" s="84" t="s">
        <v>90</v>
      </c>
      <c r="H9" s="32"/>
    </row>
    <row r="10" spans="1:10" ht="151.5" customHeight="1">
      <c r="A10" s="2" t="s">
        <v>180</v>
      </c>
      <c r="B10" s="2" t="s">
        <v>105</v>
      </c>
      <c r="C10" s="2" t="s">
        <v>106</v>
      </c>
      <c r="D10" s="2" t="s">
        <v>181</v>
      </c>
      <c r="E10" s="4" t="s">
        <v>108</v>
      </c>
      <c r="F10" s="28" t="s">
        <v>149</v>
      </c>
      <c r="G10" s="83" t="s">
        <v>90</v>
      </c>
      <c r="H10" s="33"/>
    </row>
    <row r="11" spans="1:10" ht="120.75" customHeight="1">
      <c r="A11" s="81" t="s">
        <v>160</v>
      </c>
      <c r="B11" s="81" t="s">
        <v>18</v>
      </c>
      <c r="C11" s="81" t="s">
        <v>110</v>
      </c>
      <c r="D11" s="81" t="s">
        <v>218</v>
      </c>
      <c r="E11" s="135" t="s">
        <v>112</v>
      </c>
      <c r="F11" s="139" t="s">
        <v>149</v>
      </c>
      <c r="G11" s="137"/>
      <c r="H11" s="33"/>
    </row>
    <row r="12" spans="1:10" ht="81" customHeight="1">
      <c r="A12" s="81" t="s">
        <v>219</v>
      </c>
      <c r="B12" s="81" t="s">
        <v>220</v>
      </c>
      <c r="C12" s="81" t="s">
        <v>221</v>
      </c>
      <c r="D12" s="135" t="s">
        <v>222</v>
      </c>
      <c r="E12" s="135" t="s">
        <v>223</v>
      </c>
      <c r="F12" s="139" t="s">
        <v>149</v>
      </c>
      <c r="G12" s="137"/>
      <c r="H12" s="33"/>
    </row>
    <row r="13" spans="1:10" ht="39.75" customHeight="1">
      <c r="A13" s="81" t="s">
        <v>224</v>
      </c>
      <c r="B13" s="81" t="s">
        <v>225</v>
      </c>
      <c r="C13" s="81" t="s">
        <v>226</v>
      </c>
      <c r="D13" s="81" t="s">
        <v>227</v>
      </c>
      <c r="E13" s="151" t="s">
        <v>228</v>
      </c>
      <c r="F13" s="139" t="s">
        <v>149</v>
      </c>
      <c r="G13" s="137"/>
      <c r="H13" s="33"/>
    </row>
    <row r="14" spans="1:10" ht="102" customHeight="1">
      <c r="A14" s="81" t="s">
        <v>229</v>
      </c>
      <c r="B14" s="81" t="s">
        <v>230</v>
      </c>
      <c r="C14" s="81" t="s">
        <v>231</v>
      </c>
      <c r="D14" s="135" t="s">
        <v>232</v>
      </c>
      <c r="E14" s="135" t="s">
        <v>233</v>
      </c>
      <c r="F14" s="139" t="s">
        <v>149</v>
      </c>
      <c r="G14" s="142" t="s">
        <v>90</v>
      </c>
      <c r="H14" s="33"/>
    </row>
    <row r="15" spans="1:10" ht="102" customHeight="1">
      <c r="A15" s="81" t="s">
        <v>234</v>
      </c>
      <c r="B15" s="135" t="s">
        <v>235</v>
      </c>
      <c r="C15" s="81" t="s">
        <v>236</v>
      </c>
      <c r="D15" s="135" t="s">
        <v>237</v>
      </c>
      <c r="E15" s="135" t="s">
        <v>238</v>
      </c>
      <c r="F15" s="139" t="s">
        <v>149</v>
      </c>
      <c r="G15" s="142"/>
      <c r="H15" s="33"/>
    </row>
    <row r="16" spans="1:10" ht="102" customHeight="1">
      <c r="A16" s="81" t="s">
        <v>239</v>
      </c>
      <c r="B16" s="135" t="s">
        <v>240</v>
      </c>
      <c r="C16" s="81" t="s">
        <v>236</v>
      </c>
      <c r="D16" s="135" t="s">
        <v>237</v>
      </c>
      <c r="E16" s="135" t="s">
        <v>241</v>
      </c>
      <c r="F16" s="139" t="s">
        <v>149</v>
      </c>
      <c r="G16" s="142"/>
      <c r="H16" s="33"/>
    </row>
  </sheetData>
  <phoneticPr fontId="2" type="noConversion"/>
  <hyperlinks>
    <hyperlink ref="I1" location="'0.제공테이블'!A1" display="목차" xr:uid="{00000000-0004-0000-06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"/>
  <sheetViews>
    <sheetView showGridLines="0" zoomScale="80" zoomScaleNormal="80" workbookViewId="0">
      <selection activeCell="C10" sqref="C10"/>
    </sheetView>
  </sheetViews>
  <sheetFormatPr defaultColWidth="50" defaultRowHeight="17.45"/>
  <cols>
    <col min="1" max="1" width="19.625" customWidth="1"/>
    <col min="2" max="2" width="15.25" bestFit="1" customWidth="1"/>
    <col min="3" max="3" width="11.625" bestFit="1" customWidth="1"/>
    <col min="4" max="4" width="65.625" customWidth="1"/>
    <col min="5" max="5" width="75.625" customWidth="1"/>
    <col min="6" max="6" width="44.125" customWidth="1"/>
    <col min="7" max="7" width="8.25" customWidth="1"/>
    <col min="8" max="8" width="10" customWidth="1"/>
    <col min="9" max="9" width="16.125" customWidth="1"/>
  </cols>
  <sheetData>
    <row r="1" spans="1:10">
      <c r="A1" s="43" t="s">
        <v>191</v>
      </c>
      <c r="B1" s="45" t="s">
        <v>242</v>
      </c>
      <c r="I1" s="30" t="s">
        <v>75</v>
      </c>
      <c r="J1" t="e">
        <f ca="1">MID(CELL("filename",I4),FIND("]",CELL("filename",I4))+1,255)</f>
        <v>#VALUE!</v>
      </c>
    </row>
    <row r="2" spans="1:10">
      <c r="A2" s="46" t="s">
        <v>151</v>
      </c>
      <c r="B2" s="45" t="s">
        <v>243</v>
      </c>
    </row>
    <row r="4" spans="1:10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29"/>
    </row>
    <row r="5" spans="1:10" ht="16.5" customHeight="1">
      <c r="A5" s="14" t="s">
        <v>85</v>
      </c>
      <c r="B5" s="14" t="s">
        <v>13</v>
      </c>
      <c r="C5" s="14" t="s">
        <v>86</v>
      </c>
      <c r="D5" s="14" t="s">
        <v>153</v>
      </c>
      <c r="E5" s="86" t="s">
        <v>88</v>
      </c>
      <c r="F5" s="38" t="s">
        <v>208</v>
      </c>
      <c r="G5" s="67" t="s">
        <v>90</v>
      </c>
      <c r="H5" s="31"/>
    </row>
    <row r="6" spans="1:10" ht="109.15">
      <c r="A6" s="14" t="s">
        <v>179</v>
      </c>
      <c r="B6" s="14" t="s">
        <v>14</v>
      </c>
      <c r="C6" s="14" t="s">
        <v>92</v>
      </c>
      <c r="D6" s="14" t="s">
        <v>154</v>
      </c>
      <c r="E6" s="146" t="s">
        <v>209</v>
      </c>
      <c r="F6" s="146"/>
      <c r="G6" s="67" t="s">
        <v>90</v>
      </c>
      <c r="H6" s="31"/>
    </row>
    <row r="7" spans="1:10" ht="135.75" customHeight="1">
      <c r="A7" s="39" t="s">
        <v>95</v>
      </c>
      <c r="B7" s="39" t="s">
        <v>15</v>
      </c>
      <c r="C7" s="39" t="s">
        <v>96</v>
      </c>
      <c r="D7" s="40" t="s">
        <v>97</v>
      </c>
      <c r="E7" s="86" t="s">
        <v>98</v>
      </c>
      <c r="F7" s="27"/>
      <c r="G7" s="67"/>
    </row>
    <row r="8" spans="1:10" ht="51.75" customHeight="1">
      <c r="A8" s="24" t="s">
        <v>210</v>
      </c>
      <c r="B8" s="24" t="s">
        <v>51</v>
      </c>
      <c r="C8" s="24" t="s">
        <v>212</v>
      </c>
      <c r="D8" s="25" t="s">
        <v>244</v>
      </c>
      <c r="E8" s="35" t="s">
        <v>245</v>
      </c>
      <c r="F8" s="34" t="s">
        <v>149</v>
      </c>
      <c r="G8" s="84" t="s">
        <v>90</v>
      </c>
      <c r="H8" s="32"/>
    </row>
    <row r="9" spans="1:10" ht="52.5" customHeight="1">
      <c r="A9" s="24" t="s">
        <v>215</v>
      </c>
      <c r="B9" s="24" t="s">
        <v>52</v>
      </c>
      <c r="C9" s="24" t="s">
        <v>212</v>
      </c>
      <c r="D9" s="25" t="s">
        <v>246</v>
      </c>
      <c r="E9" s="35" t="s">
        <v>247</v>
      </c>
      <c r="F9" s="34" t="s">
        <v>149</v>
      </c>
      <c r="G9" s="84" t="s">
        <v>90</v>
      </c>
      <c r="H9" s="32"/>
    </row>
    <row r="10" spans="1:10" ht="148.5" customHeight="1">
      <c r="A10" s="2" t="s">
        <v>180</v>
      </c>
      <c r="B10" s="2" t="s">
        <v>158</v>
      </c>
      <c r="C10" s="2" t="s">
        <v>106</v>
      </c>
      <c r="D10" s="2" t="s">
        <v>195</v>
      </c>
      <c r="E10" s="4" t="s">
        <v>108</v>
      </c>
      <c r="F10" s="28" t="s">
        <v>149</v>
      </c>
      <c r="G10" s="83" t="s">
        <v>90</v>
      </c>
      <c r="H10" s="33"/>
    </row>
    <row r="11" spans="1:10" ht="141" customHeight="1">
      <c r="A11" s="81" t="s">
        <v>160</v>
      </c>
      <c r="B11" s="81" t="s">
        <v>31</v>
      </c>
      <c r="C11" s="81" t="s">
        <v>110</v>
      </c>
      <c r="D11" s="81" t="s">
        <v>161</v>
      </c>
      <c r="E11" s="135" t="s">
        <v>112</v>
      </c>
      <c r="F11" s="139" t="s">
        <v>149</v>
      </c>
      <c r="G11" s="137"/>
      <c r="H11" s="33"/>
    </row>
    <row r="12" spans="1:10" ht="91.5" customHeight="1">
      <c r="A12" s="81" t="s">
        <v>248</v>
      </c>
      <c r="B12" s="81" t="s">
        <v>249</v>
      </c>
      <c r="C12" s="81" t="s">
        <v>250</v>
      </c>
      <c r="D12" s="135" t="s">
        <v>251</v>
      </c>
      <c r="E12" s="135" t="s">
        <v>223</v>
      </c>
      <c r="F12" s="139" t="s">
        <v>149</v>
      </c>
      <c r="G12" s="137"/>
      <c r="H12" s="33"/>
    </row>
    <row r="13" spans="1:10" ht="42" customHeight="1">
      <c r="A13" s="81" t="s">
        <v>252</v>
      </c>
      <c r="B13" s="81" t="s">
        <v>253</v>
      </c>
      <c r="C13" s="81" t="s">
        <v>226</v>
      </c>
      <c r="D13" s="81" t="s">
        <v>254</v>
      </c>
      <c r="E13" s="151"/>
      <c r="F13" s="139" t="s">
        <v>149</v>
      </c>
      <c r="G13" s="137"/>
    </row>
    <row r="14" spans="1:10" ht="102" customHeight="1">
      <c r="A14" s="81" t="s">
        <v>229</v>
      </c>
      <c r="B14" s="81" t="s">
        <v>230</v>
      </c>
      <c r="C14" s="81" t="s">
        <v>231</v>
      </c>
      <c r="D14" s="135" t="s">
        <v>232</v>
      </c>
      <c r="E14" s="135" t="s">
        <v>255</v>
      </c>
      <c r="F14" s="139" t="s">
        <v>149</v>
      </c>
      <c r="G14" s="142" t="s">
        <v>90</v>
      </c>
      <c r="H14" s="33"/>
    </row>
    <row r="15" spans="1:10" ht="102" customHeight="1">
      <c r="A15" s="81" t="s">
        <v>256</v>
      </c>
      <c r="B15" s="135" t="s">
        <v>257</v>
      </c>
      <c r="C15" s="81" t="s">
        <v>236</v>
      </c>
      <c r="D15" s="135" t="s">
        <v>258</v>
      </c>
      <c r="E15" s="135" t="s">
        <v>259</v>
      </c>
      <c r="F15" s="139" t="s">
        <v>149</v>
      </c>
      <c r="G15" s="142"/>
      <c r="H15" s="33"/>
    </row>
    <row r="16" spans="1:10" ht="102" customHeight="1">
      <c r="A16" s="81" t="s">
        <v>260</v>
      </c>
      <c r="B16" s="135" t="s">
        <v>261</v>
      </c>
      <c r="C16" s="81" t="s">
        <v>236</v>
      </c>
      <c r="D16" s="135" t="s">
        <v>262</v>
      </c>
      <c r="E16" s="135" t="s">
        <v>263</v>
      </c>
      <c r="F16" s="139" t="s">
        <v>149</v>
      </c>
      <c r="G16" s="142"/>
      <c r="H16" s="33"/>
    </row>
  </sheetData>
  <phoneticPr fontId="2" type="noConversion"/>
  <hyperlinks>
    <hyperlink ref="I1" location="'0.제공테이블'!A1" display="목차" xr:uid="{00000000-0004-0000-07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showGridLines="0" topLeftCell="A16" zoomScale="80" zoomScaleNormal="80" workbookViewId="0">
      <selection activeCell="C16" sqref="C16"/>
    </sheetView>
  </sheetViews>
  <sheetFormatPr defaultColWidth="51.5" defaultRowHeight="17.45"/>
  <cols>
    <col min="1" max="1" width="19.625" customWidth="1"/>
    <col min="2" max="2" width="15.625" bestFit="1" customWidth="1"/>
    <col min="3" max="3" width="13" customWidth="1"/>
    <col min="4" max="4" width="65.625" customWidth="1"/>
    <col min="5" max="5" width="75.625" customWidth="1"/>
    <col min="6" max="6" width="46.375" customWidth="1"/>
    <col min="7" max="7" width="8.875" customWidth="1"/>
    <col min="8" max="8" width="9" customWidth="1"/>
    <col min="9" max="9" width="17.375" customWidth="1"/>
    <col min="10" max="10" width="18.875" customWidth="1"/>
  </cols>
  <sheetData>
    <row r="1" spans="1:10" s="42" customFormat="1" ht="16.5" customHeight="1">
      <c r="A1" s="43" t="s">
        <v>73</v>
      </c>
      <c r="B1" s="44" t="s">
        <v>264</v>
      </c>
      <c r="I1" s="30" t="s">
        <v>75</v>
      </c>
      <c r="J1" t="e">
        <f ca="1">MID(CELL("filename",I4),FIND("]",CELL("filename",I4))+1,255)</f>
        <v>#VALUE!</v>
      </c>
    </row>
    <row r="2" spans="1:10" s="42" customFormat="1" ht="16.5" customHeight="1">
      <c r="A2" s="43" t="s">
        <v>76</v>
      </c>
      <c r="B2" s="44" t="s">
        <v>265</v>
      </c>
      <c r="I2"/>
      <c r="J2"/>
    </row>
    <row r="3" spans="1:10" s="42" customFormat="1" ht="16.5" customHeight="1">
      <c r="A3" s="41"/>
      <c r="I3"/>
      <c r="J3"/>
    </row>
    <row r="4" spans="1:10">
      <c r="A4" s="1" t="s">
        <v>78</v>
      </c>
      <c r="B4" s="1" t="s">
        <v>79</v>
      </c>
      <c r="C4" s="1" t="s">
        <v>80</v>
      </c>
      <c r="D4" s="13" t="s">
        <v>81</v>
      </c>
      <c r="E4" s="1" t="s">
        <v>82</v>
      </c>
      <c r="F4" s="1" t="s">
        <v>83</v>
      </c>
      <c r="G4" s="1" t="s">
        <v>84</v>
      </c>
    </row>
    <row r="5" spans="1:10" ht="60" customHeight="1">
      <c r="A5" s="14" t="s">
        <v>85</v>
      </c>
      <c r="B5" s="14" t="s">
        <v>13</v>
      </c>
      <c r="C5" s="14" t="s">
        <v>86</v>
      </c>
      <c r="D5" s="15" t="s">
        <v>87</v>
      </c>
      <c r="E5" s="86" t="s">
        <v>88</v>
      </c>
      <c r="F5" s="38" t="s">
        <v>266</v>
      </c>
      <c r="G5" s="67" t="s">
        <v>90</v>
      </c>
    </row>
    <row r="6" spans="1:10" ht="94.5" customHeight="1">
      <c r="A6" s="14" t="s">
        <v>91</v>
      </c>
      <c r="B6" s="14" t="s">
        <v>14</v>
      </c>
      <c r="C6" s="14" t="s">
        <v>92</v>
      </c>
      <c r="D6" s="15" t="s">
        <v>93</v>
      </c>
      <c r="E6" s="27" t="s">
        <v>267</v>
      </c>
      <c r="F6" s="27"/>
      <c r="G6" s="67" t="s">
        <v>90</v>
      </c>
    </row>
    <row r="7" spans="1:10" ht="135.75" customHeight="1">
      <c r="A7" s="39" t="s">
        <v>95</v>
      </c>
      <c r="B7" s="39" t="s">
        <v>15</v>
      </c>
      <c r="C7" s="39" t="s">
        <v>96</v>
      </c>
      <c r="D7" s="40" t="s">
        <v>97</v>
      </c>
      <c r="E7" s="86" t="s">
        <v>98</v>
      </c>
      <c r="F7" s="27"/>
      <c r="G7" s="67"/>
    </row>
    <row r="8" spans="1:10" ht="127.5" customHeight="1">
      <c r="A8" s="49" t="s">
        <v>268</v>
      </c>
      <c r="B8" s="49" t="s">
        <v>269</v>
      </c>
      <c r="C8" s="49" t="s">
        <v>128</v>
      </c>
      <c r="D8" s="50" t="s">
        <v>270</v>
      </c>
      <c r="E8" s="51" t="s">
        <v>271</v>
      </c>
      <c r="F8" s="28" t="s">
        <v>149</v>
      </c>
      <c r="G8" s="63"/>
    </row>
    <row r="9" spans="1:10" ht="174" customHeight="1">
      <c r="A9" s="144" t="s">
        <v>180</v>
      </c>
      <c r="B9" s="81" t="s">
        <v>272</v>
      </c>
      <c r="C9" s="81" t="s">
        <v>106</v>
      </c>
      <c r="D9" s="135" t="s">
        <v>273</v>
      </c>
      <c r="E9" s="135" t="s">
        <v>108</v>
      </c>
      <c r="F9" s="139" t="s">
        <v>149</v>
      </c>
      <c r="G9" s="140" t="s">
        <v>90</v>
      </c>
    </row>
    <row r="10" spans="1:10" ht="129.75" customHeight="1">
      <c r="A10" s="81" t="s">
        <v>160</v>
      </c>
      <c r="B10" s="81" t="s">
        <v>274</v>
      </c>
      <c r="C10" s="81" t="s">
        <v>110</v>
      </c>
      <c r="D10" s="135" t="s">
        <v>275</v>
      </c>
      <c r="E10" s="135" t="s">
        <v>112</v>
      </c>
      <c r="F10" s="139" t="s">
        <v>149</v>
      </c>
      <c r="G10" s="141"/>
    </row>
    <row r="11" spans="1:10" ht="76.5" customHeight="1">
      <c r="A11" s="81" t="s">
        <v>276</v>
      </c>
      <c r="B11" s="81" t="s">
        <v>277</v>
      </c>
      <c r="C11" s="81" t="s">
        <v>231</v>
      </c>
      <c r="D11" s="135" t="s">
        <v>278</v>
      </c>
      <c r="E11" s="135" t="s">
        <v>279</v>
      </c>
      <c r="F11" s="139" t="s">
        <v>149</v>
      </c>
      <c r="G11" s="140" t="s">
        <v>90</v>
      </c>
    </row>
    <row r="12" spans="1:10" ht="76.5" customHeight="1">
      <c r="A12" s="81" t="s">
        <v>121</v>
      </c>
      <c r="B12" s="137" t="s">
        <v>280</v>
      </c>
      <c r="C12" s="81" t="s">
        <v>123</v>
      </c>
      <c r="D12" s="135" t="s">
        <v>281</v>
      </c>
      <c r="E12" s="137" t="s">
        <v>282</v>
      </c>
      <c r="F12" s="139" t="s">
        <v>149</v>
      </c>
      <c r="G12" s="140" t="s">
        <v>283</v>
      </c>
    </row>
    <row r="13" spans="1:10" ht="71.25" customHeight="1">
      <c r="A13" s="81" t="s">
        <v>284</v>
      </c>
      <c r="B13" s="81" t="s">
        <v>285</v>
      </c>
      <c r="C13" s="81" t="s">
        <v>286</v>
      </c>
      <c r="D13" s="135" t="s">
        <v>287</v>
      </c>
      <c r="E13" s="137"/>
      <c r="F13" s="139" t="s">
        <v>149</v>
      </c>
      <c r="G13" s="140" t="s">
        <v>90</v>
      </c>
    </row>
    <row r="14" spans="1:10" ht="209.25" customHeight="1">
      <c r="A14" s="137" t="s">
        <v>288</v>
      </c>
      <c r="B14" s="137" t="s">
        <v>289</v>
      </c>
      <c r="C14" s="81" t="s">
        <v>231</v>
      </c>
      <c r="D14" s="135" t="s">
        <v>290</v>
      </c>
      <c r="E14" s="136" t="s">
        <v>291</v>
      </c>
      <c r="F14" s="139" t="s">
        <v>149</v>
      </c>
      <c r="G14" s="140" t="s">
        <v>90</v>
      </c>
    </row>
    <row r="15" spans="1:10" ht="108" customHeight="1">
      <c r="A15" s="137" t="s">
        <v>145</v>
      </c>
      <c r="B15" s="137" t="s">
        <v>146</v>
      </c>
      <c r="C15" s="81" t="s">
        <v>115</v>
      </c>
      <c r="D15" s="135" t="s">
        <v>292</v>
      </c>
      <c r="E15" s="136" t="s">
        <v>148</v>
      </c>
      <c r="F15" s="139" t="s">
        <v>149</v>
      </c>
      <c r="G15" s="141"/>
    </row>
    <row r="16" spans="1:10" ht="81" customHeight="1">
      <c r="A16" s="137" t="s">
        <v>293</v>
      </c>
      <c r="B16" s="137" t="s">
        <v>294</v>
      </c>
      <c r="C16" s="81" t="s">
        <v>115</v>
      </c>
      <c r="D16" s="135" t="s">
        <v>295</v>
      </c>
      <c r="E16" s="136" t="s">
        <v>296</v>
      </c>
      <c r="F16" s="139" t="s">
        <v>149</v>
      </c>
      <c r="G16" s="141"/>
    </row>
    <row r="17" spans="1:7" ht="123" customHeight="1">
      <c r="A17" s="137" t="s">
        <v>297</v>
      </c>
      <c r="B17" s="137" t="s">
        <v>298</v>
      </c>
      <c r="C17" s="81" t="s">
        <v>115</v>
      </c>
      <c r="D17" s="135" t="s">
        <v>299</v>
      </c>
      <c r="E17" s="137"/>
      <c r="F17" s="139" t="s">
        <v>149</v>
      </c>
      <c r="G17" s="141"/>
    </row>
    <row r="18" spans="1:7" ht="96" customHeight="1">
      <c r="A18" s="137" t="s">
        <v>300</v>
      </c>
      <c r="B18" s="137" t="s">
        <v>301</v>
      </c>
      <c r="C18" s="81" t="s">
        <v>302</v>
      </c>
      <c r="D18" s="135" t="s">
        <v>303</v>
      </c>
      <c r="E18" s="152" t="s">
        <v>304</v>
      </c>
      <c r="F18" s="139" t="s">
        <v>149</v>
      </c>
      <c r="G18" s="141"/>
    </row>
    <row r="19" spans="1:7" ht="160.5" customHeight="1">
      <c r="A19" s="137" t="s">
        <v>305</v>
      </c>
      <c r="B19" s="137" t="s">
        <v>306</v>
      </c>
      <c r="C19" s="81" t="s">
        <v>302</v>
      </c>
      <c r="D19" s="135" t="s">
        <v>303</v>
      </c>
      <c r="E19" s="136" t="s">
        <v>307</v>
      </c>
      <c r="F19" s="139" t="s">
        <v>149</v>
      </c>
      <c r="G19" s="141"/>
    </row>
    <row r="20" spans="1:7" ht="102" customHeight="1">
      <c r="A20" s="137" t="s">
        <v>126</v>
      </c>
      <c r="B20" s="137" t="s">
        <v>308</v>
      </c>
      <c r="C20" s="81" t="s">
        <v>128</v>
      </c>
      <c r="D20" s="135" t="s">
        <v>309</v>
      </c>
      <c r="E20" s="136" t="s">
        <v>310</v>
      </c>
      <c r="F20" s="139" t="s">
        <v>149</v>
      </c>
      <c r="G20" s="140"/>
    </row>
    <row r="21" spans="1:7" ht="108" customHeight="1">
      <c r="A21" s="137" t="s">
        <v>131</v>
      </c>
      <c r="B21" s="137" t="s">
        <v>311</v>
      </c>
      <c r="C21" s="81" t="s">
        <v>128</v>
      </c>
      <c r="D21" s="135" t="s">
        <v>312</v>
      </c>
      <c r="E21" s="136" t="s">
        <v>313</v>
      </c>
      <c r="F21" s="139" t="s">
        <v>149</v>
      </c>
      <c r="G21" s="140"/>
    </row>
    <row r="22" spans="1:7" ht="90.75" customHeight="1">
      <c r="A22" s="137" t="s">
        <v>314</v>
      </c>
      <c r="B22" s="137" t="s">
        <v>315</v>
      </c>
      <c r="C22" s="81" t="s">
        <v>115</v>
      </c>
      <c r="D22" s="135" t="s">
        <v>316</v>
      </c>
      <c r="E22" s="136" t="s">
        <v>317</v>
      </c>
      <c r="F22" s="139" t="s">
        <v>149</v>
      </c>
      <c r="G22" s="140"/>
    </row>
    <row r="23" spans="1:7" ht="58.5" customHeight="1">
      <c r="A23" s="137" t="s">
        <v>141</v>
      </c>
      <c r="B23" s="137" t="s">
        <v>318</v>
      </c>
      <c r="C23" s="81" t="s">
        <v>115</v>
      </c>
      <c r="D23" s="135" t="s">
        <v>319</v>
      </c>
      <c r="E23" s="136" t="s">
        <v>320</v>
      </c>
      <c r="F23" s="139" t="s">
        <v>149</v>
      </c>
      <c r="G23" s="141"/>
    </row>
  </sheetData>
  <phoneticPr fontId="2" type="noConversion"/>
  <hyperlinks>
    <hyperlink ref="I1" location="'0.제공테이블'!A1" display="목차" xr:uid="{00000000-0004-0000-0800-000000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showGridLines="0" workbookViewId="0">
      <selection activeCell="F1" sqref="F1"/>
    </sheetView>
  </sheetViews>
  <sheetFormatPr defaultRowHeight="17.45"/>
  <cols>
    <col min="1" max="1" width="9" style="10"/>
    <col min="2" max="2" width="15.5" style="10" customWidth="1"/>
    <col min="3" max="3" width="39.25" style="5" customWidth="1"/>
    <col min="4" max="4" width="20.5" style="10" customWidth="1"/>
  </cols>
  <sheetData>
    <row r="1" spans="1:6">
      <c r="A1" s="12" t="s">
        <v>321</v>
      </c>
      <c r="B1" s="12" t="s">
        <v>322</v>
      </c>
      <c r="C1" s="11" t="s">
        <v>323</v>
      </c>
      <c r="D1" s="12" t="s">
        <v>324</v>
      </c>
      <c r="F1" s="138" t="s">
        <v>75</v>
      </c>
    </row>
    <row r="2" spans="1:6">
      <c r="A2" s="9" t="s">
        <v>325</v>
      </c>
      <c r="B2" s="9" t="s">
        <v>326</v>
      </c>
      <c r="C2" s="6" t="s">
        <v>327</v>
      </c>
      <c r="D2" s="8">
        <v>0.1</v>
      </c>
    </row>
    <row r="3" spans="1:6" ht="48" customHeight="1">
      <c r="A3" s="9" t="s">
        <v>328</v>
      </c>
      <c r="B3" s="9" t="s">
        <v>326</v>
      </c>
      <c r="C3" s="7" t="s">
        <v>329</v>
      </c>
      <c r="D3" s="8">
        <v>0</v>
      </c>
    </row>
    <row r="4" spans="1:6" ht="31.15">
      <c r="A4" s="9" t="s">
        <v>330</v>
      </c>
      <c r="B4" s="9" t="s">
        <v>331</v>
      </c>
      <c r="C4" s="6" t="s">
        <v>332</v>
      </c>
      <c r="D4" s="9" t="s">
        <v>333</v>
      </c>
    </row>
    <row r="5" spans="1:6" ht="31.15">
      <c r="A5" s="9" t="s">
        <v>334</v>
      </c>
      <c r="B5" s="9" t="s">
        <v>335</v>
      </c>
      <c r="C5" s="6" t="s">
        <v>336</v>
      </c>
      <c r="D5" s="8">
        <v>0.1</v>
      </c>
    </row>
    <row r="6" spans="1:6" ht="31.15">
      <c r="A6" s="205" t="s">
        <v>337</v>
      </c>
      <c r="B6" s="205" t="s">
        <v>338</v>
      </c>
      <c r="C6" s="6" t="s">
        <v>339</v>
      </c>
      <c r="D6" s="204">
        <v>0.1</v>
      </c>
    </row>
    <row r="7" spans="1:6" ht="46.9">
      <c r="A7" s="206"/>
      <c r="B7" s="206"/>
      <c r="C7" s="6" t="s">
        <v>340</v>
      </c>
      <c r="D7" s="204"/>
    </row>
    <row r="8" spans="1:6" ht="31.15">
      <c r="A8" s="9" t="s">
        <v>341</v>
      </c>
      <c r="B8" s="9"/>
      <c r="C8" s="6" t="s">
        <v>342</v>
      </c>
      <c r="D8" s="8">
        <v>0</v>
      </c>
    </row>
    <row r="9" spans="1:6" ht="31.15">
      <c r="A9" s="9" t="s">
        <v>343</v>
      </c>
      <c r="B9" s="9" t="s">
        <v>344</v>
      </c>
      <c r="C9" s="6" t="s">
        <v>345</v>
      </c>
      <c r="D9" s="8">
        <v>0.1</v>
      </c>
    </row>
    <row r="10" spans="1:6" ht="31.15">
      <c r="A10" s="9" t="s">
        <v>346</v>
      </c>
      <c r="B10" s="9" t="s">
        <v>344</v>
      </c>
      <c r="C10" s="6" t="s">
        <v>347</v>
      </c>
      <c r="D10" s="9" t="s">
        <v>333</v>
      </c>
    </row>
    <row r="11" spans="1:6" ht="31.15">
      <c r="A11" s="9" t="s">
        <v>348</v>
      </c>
      <c r="B11" s="9" t="s">
        <v>344</v>
      </c>
      <c r="C11" s="6" t="s">
        <v>349</v>
      </c>
      <c r="D11" s="8">
        <v>0</v>
      </c>
    </row>
    <row r="12" spans="1:6">
      <c r="A12" s="9" t="s">
        <v>350</v>
      </c>
      <c r="B12" s="9" t="s">
        <v>335</v>
      </c>
      <c r="C12" s="6" t="s">
        <v>351</v>
      </c>
      <c r="D12" s="9" t="s">
        <v>333</v>
      </c>
    </row>
    <row r="13" spans="1:6" ht="31.15">
      <c r="A13" s="9" t="s">
        <v>352</v>
      </c>
      <c r="B13" s="9" t="s">
        <v>353</v>
      </c>
      <c r="C13" s="6" t="s">
        <v>354</v>
      </c>
      <c r="D13" s="8">
        <v>0.1</v>
      </c>
    </row>
    <row r="14" spans="1:6" ht="31.15">
      <c r="A14" s="9" t="s">
        <v>355</v>
      </c>
      <c r="B14" s="9" t="s">
        <v>356</v>
      </c>
      <c r="C14" s="6" t="s">
        <v>357</v>
      </c>
      <c r="D14" s="8">
        <v>0.1</v>
      </c>
    </row>
    <row r="15" spans="1:6" ht="31.15">
      <c r="A15" s="9" t="s">
        <v>358</v>
      </c>
      <c r="B15" s="9" t="s">
        <v>356</v>
      </c>
      <c r="C15" s="6" t="s">
        <v>359</v>
      </c>
      <c r="D15" s="9" t="s">
        <v>333</v>
      </c>
    </row>
    <row r="16" spans="1:6" ht="31.15">
      <c r="A16" s="9" t="s">
        <v>360</v>
      </c>
      <c r="B16" s="9" t="s">
        <v>356</v>
      </c>
      <c r="C16" s="6" t="s">
        <v>361</v>
      </c>
      <c r="D16" s="8">
        <v>0</v>
      </c>
    </row>
    <row r="17" spans="1:4">
      <c r="A17" s="9" t="s">
        <v>362</v>
      </c>
      <c r="B17" s="9" t="s">
        <v>326</v>
      </c>
      <c r="C17" s="6" t="s">
        <v>363</v>
      </c>
      <c r="D17" s="8">
        <v>0.1</v>
      </c>
    </row>
  </sheetData>
  <mergeCells count="3">
    <mergeCell ref="D6:D7"/>
    <mergeCell ref="A6:A7"/>
    <mergeCell ref="B6:B7"/>
  </mergeCells>
  <phoneticPr fontId="2" type="noConversion"/>
  <hyperlinks>
    <hyperlink ref="F1" location="'0.제공테이블'!A1" display="목차" xr:uid="{F91550CC-9FEB-4E48-BCE5-4AF6DDA6C61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"/>
  <sheetViews>
    <sheetView workbookViewId="0"/>
  </sheetViews>
  <sheetFormatPr defaultRowHeight="17.45"/>
  <sheetData/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showGridLines="0" workbookViewId="0">
      <selection activeCell="F1" sqref="F1"/>
    </sheetView>
  </sheetViews>
  <sheetFormatPr defaultColWidth="9" defaultRowHeight="15.6"/>
  <cols>
    <col min="1" max="1" width="14.25" style="5" customWidth="1"/>
    <col min="2" max="2" width="15.375" style="5" customWidth="1"/>
    <col min="3" max="3" width="40.125" style="5" customWidth="1"/>
    <col min="4" max="4" width="19.625" style="10" customWidth="1"/>
    <col min="5" max="16384" width="9" style="5"/>
  </cols>
  <sheetData>
    <row r="1" spans="1:6" ht="16.5" customHeight="1">
      <c r="A1" s="11" t="s">
        <v>321</v>
      </c>
      <c r="B1" s="11" t="s">
        <v>322</v>
      </c>
      <c r="C1" s="11" t="s">
        <v>323</v>
      </c>
      <c r="D1" s="12" t="s">
        <v>324</v>
      </c>
      <c r="F1" s="138" t="s">
        <v>75</v>
      </c>
    </row>
    <row r="2" spans="1:6" ht="16.5" customHeight="1">
      <c r="A2" s="6" t="s">
        <v>364</v>
      </c>
      <c r="B2" s="6" t="s">
        <v>326</v>
      </c>
      <c r="C2" s="6" t="s">
        <v>365</v>
      </c>
      <c r="D2" s="8">
        <v>0.1</v>
      </c>
    </row>
    <row r="3" spans="1:6" ht="42" customHeight="1">
      <c r="A3" s="6" t="s">
        <v>366</v>
      </c>
      <c r="B3" s="6" t="s">
        <v>326</v>
      </c>
      <c r="C3" s="6" t="s">
        <v>367</v>
      </c>
      <c r="D3" s="8">
        <v>0</v>
      </c>
    </row>
    <row r="4" spans="1:6" ht="32.25" customHeight="1">
      <c r="A4" s="6" t="s">
        <v>368</v>
      </c>
      <c r="B4" s="6" t="s">
        <v>331</v>
      </c>
      <c r="C4" s="6" t="s">
        <v>369</v>
      </c>
      <c r="D4" s="9" t="s">
        <v>333</v>
      </c>
    </row>
    <row r="5" spans="1:6" ht="32.25" customHeight="1">
      <c r="A5" s="6" t="s">
        <v>370</v>
      </c>
      <c r="B5" s="6" t="s">
        <v>326</v>
      </c>
      <c r="C5" s="6" t="s">
        <v>371</v>
      </c>
      <c r="D5" s="8">
        <v>0.1</v>
      </c>
    </row>
    <row r="6" spans="1:6" ht="33.75" customHeight="1">
      <c r="A6" s="6" t="s">
        <v>372</v>
      </c>
      <c r="B6" s="6" t="s">
        <v>326</v>
      </c>
      <c r="C6" s="6" t="s">
        <v>373</v>
      </c>
      <c r="D6" s="8">
        <v>0</v>
      </c>
    </row>
    <row r="7" spans="1:6" ht="16.5" customHeight="1">
      <c r="A7" s="6" t="s">
        <v>374</v>
      </c>
      <c r="B7" s="6" t="s">
        <v>335</v>
      </c>
      <c r="C7" s="6" t="s">
        <v>375</v>
      </c>
      <c r="D7" s="8">
        <v>0.1</v>
      </c>
    </row>
    <row r="8" spans="1:6" ht="30.75" customHeight="1">
      <c r="A8" s="6" t="s">
        <v>376</v>
      </c>
      <c r="B8" s="6" t="s">
        <v>344</v>
      </c>
      <c r="C8" s="6" t="s">
        <v>377</v>
      </c>
      <c r="D8" s="8">
        <v>0.1</v>
      </c>
    </row>
    <row r="9" spans="1:6" ht="30.75" customHeight="1">
      <c r="A9" s="6" t="s">
        <v>378</v>
      </c>
      <c r="B9" s="6" t="s">
        <v>344</v>
      </c>
      <c r="C9" s="6" t="s">
        <v>379</v>
      </c>
      <c r="D9" s="9" t="s">
        <v>333</v>
      </c>
    </row>
    <row r="10" spans="1:6" ht="30.75" customHeight="1">
      <c r="A10" s="6" t="s">
        <v>380</v>
      </c>
      <c r="B10" s="6" t="s">
        <v>344</v>
      </c>
      <c r="C10" s="6" t="s">
        <v>381</v>
      </c>
      <c r="D10" s="8">
        <v>0</v>
      </c>
    </row>
    <row r="11" spans="1:6" ht="16.5" customHeight="1">
      <c r="A11" s="6" t="s">
        <v>382</v>
      </c>
      <c r="B11" s="6" t="s">
        <v>335</v>
      </c>
      <c r="C11" s="6" t="s">
        <v>383</v>
      </c>
      <c r="D11" s="9" t="s">
        <v>333</v>
      </c>
    </row>
    <row r="12" spans="1:6" ht="33.75" customHeight="1">
      <c r="A12" s="6" t="s">
        <v>384</v>
      </c>
      <c r="B12" s="6" t="s">
        <v>356</v>
      </c>
      <c r="C12" s="6" t="s">
        <v>385</v>
      </c>
      <c r="D12" s="8">
        <v>0.1</v>
      </c>
    </row>
    <row r="13" spans="1:6" ht="33.75" customHeight="1">
      <c r="A13" s="6" t="s">
        <v>386</v>
      </c>
      <c r="B13" s="6" t="s">
        <v>356</v>
      </c>
      <c r="C13" s="6" t="s">
        <v>387</v>
      </c>
      <c r="D13" s="9" t="s">
        <v>333</v>
      </c>
    </row>
    <row r="14" spans="1:6" ht="33.75" customHeight="1">
      <c r="A14" s="6" t="s">
        <v>388</v>
      </c>
      <c r="B14" s="6" t="s">
        <v>389</v>
      </c>
      <c r="C14" s="6" t="s">
        <v>390</v>
      </c>
      <c r="D14" s="8">
        <v>0.1</v>
      </c>
    </row>
    <row r="15" spans="1:6" ht="16.5" customHeight="1">
      <c r="A15" s="6" t="s">
        <v>391</v>
      </c>
      <c r="B15" s="6" t="s">
        <v>326</v>
      </c>
      <c r="C15" s="6" t="s">
        <v>392</v>
      </c>
      <c r="D15" s="8">
        <v>0.1</v>
      </c>
    </row>
  </sheetData>
  <phoneticPr fontId="2" type="noConversion"/>
  <hyperlinks>
    <hyperlink ref="F1" location="'0.제공테이블'!A1" display="목차" xr:uid="{30FB3F18-EFC3-4CA3-A483-72F9393B90AE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6612-8A2C-4A62-8B7B-81982F2785A8}">
  <dimension ref="A1:L26"/>
  <sheetViews>
    <sheetView showGridLines="0" workbookViewId="0">
      <selection activeCell="L1" sqref="L1"/>
    </sheetView>
  </sheetViews>
  <sheetFormatPr defaultRowHeight="17.45"/>
  <sheetData>
    <row r="1" spans="12:12">
      <c r="L1" s="138" t="s">
        <v>75</v>
      </c>
    </row>
    <row r="23" spans="1:12">
      <c r="A23" s="42"/>
      <c r="B23" s="42" t="s">
        <v>393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</row>
    <row r="24" spans="1:12">
      <c r="A24" s="42"/>
      <c r="B24" s="42" t="s">
        <v>394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1:12">
      <c r="A25" s="42"/>
      <c r="B25" s="42" t="s">
        <v>395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</row>
    <row r="26" spans="1:12">
      <c r="A26" s="42"/>
      <c r="B26" s="42" t="s">
        <v>396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</row>
  </sheetData>
  <phoneticPr fontId="2" type="noConversion"/>
  <hyperlinks>
    <hyperlink ref="L1" location="'0.제공테이블'!A1" display="목차" xr:uid="{ED6E6C11-1E0A-49BF-AAF1-146B605ACCF1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B06D-2F86-4D16-834A-CB6826940899}">
  <dimension ref="A1:N57"/>
  <sheetViews>
    <sheetView showGridLines="0" topLeftCell="A16" zoomScaleNormal="100" workbookViewId="0">
      <selection activeCell="G25" sqref="G25"/>
    </sheetView>
  </sheetViews>
  <sheetFormatPr defaultRowHeight="16.5" customHeight="1"/>
  <cols>
    <col min="1" max="1" width="12.5" style="75" customWidth="1"/>
    <col min="2" max="2" width="15.375" style="75" customWidth="1"/>
    <col min="3" max="3" width="13" style="75" customWidth="1"/>
    <col min="4" max="4" width="16.375" customWidth="1"/>
    <col min="5" max="5" width="10.75" customWidth="1"/>
    <col min="6" max="6" width="10.375" style="75" customWidth="1"/>
    <col min="7" max="8" width="11.5" style="75" customWidth="1"/>
    <col min="9" max="9" width="11.375" customWidth="1"/>
    <col min="10" max="10" width="11.75" customWidth="1"/>
    <col min="11" max="11" width="9.75" style="75" customWidth="1"/>
    <col min="12" max="12" width="15.25" customWidth="1"/>
    <col min="13" max="13" width="5.25" customWidth="1"/>
    <col min="14" max="14" width="9.625" bestFit="1" customWidth="1"/>
  </cols>
  <sheetData>
    <row r="1" spans="1:11" ht="16.5" customHeight="1">
      <c r="K1" s="138" t="s">
        <v>75</v>
      </c>
    </row>
    <row r="2" spans="1:11" s="5" customFormat="1" ht="16.5" customHeight="1">
      <c r="A2" s="99" t="s">
        <v>397</v>
      </c>
      <c r="B2" s="68"/>
      <c r="C2" s="68"/>
      <c r="F2" s="68"/>
      <c r="G2" s="68"/>
      <c r="H2" s="68"/>
      <c r="K2" s="68"/>
    </row>
    <row r="3" spans="1:11" s="5" customFormat="1" ht="16.5" customHeight="1">
      <c r="A3" s="99" t="s">
        <v>398</v>
      </c>
      <c r="B3" s="68"/>
      <c r="C3" s="68"/>
      <c r="F3" s="68"/>
      <c r="G3" s="68"/>
      <c r="H3" s="68"/>
      <c r="K3" s="68"/>
    </row>
    <row r="4" spans="1:11" s="5" customFormat="1" ht="16.5" customHeight="1">
      <c r="A4" s="99" t="s">
        <v>399</v>
      </c>
      <c r="B4" s="68"/>
      <c r="C4" s="68"/>
      <c r="F4" s="68"/>
      <c r="G4" s="68"/>
      <c r="H4" s="68"/>
      <c r="K4" s="68"/>
    </row>
    <row r="5" spans="1:11" s="5" customFormat="1" ht="16.5" customHeight="1">
      <c r="A5" s="99" t="s">
        <v>400</v>
      </c>
      <c r="B5" s="68"/>
      <c r="C5" s="68"/>
      <c r="F5" s="68"/>
      <c r="G5" s="68"/>
      <c r="H5" s="68"/>
      <c r="K5" s="68"/>
    </row>
    <row r="6" spans="1:11" s="5" customFormat="1" ht="16.5" customHeight="1">
      <c r="A6" s="99"/>
      <c r="B6" s="68"/>
      <c r="C6" s="68"/>
      <c r="F6" s="68"/>
      <c r="G6" s="68"/>
      <c r="H6" s="68"/>
      <c r="K6" s="68"/>
    </row>
    <row r="7" spans="1:11" s="5" customFormat="1" ht="16.5" customHeight="1">
      <c r="A7" s="99"/>
      <c r="B7" s="68"/>
      <c r="C7" s="68"/>
      <c r="F7" s="68"/>
      <c r="G7" s="68"/>
      <c r="H7" s="68"/>
      <c r="K7" s="68"/>
    </row>
    <row r="8" spans="1:11" s="5" customFormat="1" ht="16.5" customHeight="1">
      <c r="A8" s="99"/>
      <c r="B8" s="68"/>
      <c r="C8" s="68"/>
      <c r="F8" s="68"/>
      <c r="G8" s="68"/>
      <c r="H8" s="68"/>
      <c r="K8" s="68"/>
    </row>
    <row r="9" spans="1:11" s="5" customFormat="1" ht="16.5" customHeight="1">
      <c r="A9" s="99"/>
      <c r="B9" s="68"/>
      <c r="C9" s="68"/>
      <c r="F9" s="68"/>
      <c r="G9" s="68"/>
      <c r="H9" s="68"/>
      <c r="K9" s="68"/>
    </row>
    <row r="10" spans="1:11" s="5" customFormat="1" ht="16.5" customHeight="1">
      <c r="A10" s="99"/>
      <c r="B10" s="68"/>
      <c r="C10" s="68"/>
      <c r="F10" s="68"/>
      <c r="G10" s="68"/>
      <c r="H10" s="68"/>
      <c r="K10" s="68"/>
    </row>
    <row r="11" spans="1:11" s="5" customFormat="1" ht="16.5" customHeight="1">
      <c r="A11" s="99" t="s">
        <v>401</v>
      </c>
      <c r="B11" s="68"/>
      <c r="C11" s="68"/>
      <c r="F11" s="68"/>
      <c r="G11" s="68"/>
      <c r="H11" s="68"/>
      <c r="K11" s="68"/>
    </row>
    <row r="12" spans="1:11" s="68" customFormat="1" ht="16.5" customHeight="1">
      <c r="A12" s="10" t="s">
        <v>402</v>
      </c>
    </row>
    <row r="13" spans="1:11" s="68" customFormat="1" ht="16.5" customHeight="1"/>
    <row r="14" spans="1:11" s="68" customFormat="1" ht="16.5" customHeight="1">
      <c r="A14" s="207" t="s">
        <v>403</v>
      </c>
      <c r="B14" s="209" t="s">
        <v>404</v>
      </c>
      <c r="C14" s="100" t="s">
        <v>405</v>
      </c>
      <c r="D14" s="100" t="s">
        <v>406</v>
      </c>
    </row>
    <row r="15" spans="1:11" s="5" customFormat="1" ht="16.5" customHeight="1">
      <c r="A15" s="208"/>
      <c r="B15" s="208"/>
      <c r="C15" s="100" t="s">
        <v>407</v>
      </c>
      <c r="D15" s="100" t="s">
        <v>408</v>
      </c>
      <c r="F15" s="68"/>
      <c r="G15" s="68"/>
      <c r="H15" s="68"/>
      <c r="K15" s="68"/>
    </row>
    <row r="16" spans="1:11" s="5" customFormat="1" ht="16.5" customHeight="1">
      <c r="A16" s="79" t="s">
        <v>409</v>
      </c>
      <c r="B16" s="101">
        <f>D16/C16</f>
        <v>129.80000000000001</v>
      </c>
      <c r="C16" s="102">
        <f>I49+I50+I51+I53+I54+I56</f>
        <v>5000000</v>
      </c>
      <c r="D16" s="103">
        <f>L49+L50+L51+L53+L54+L56</f>
        <v>649000000</v>
      </c>
      <c r="F16" s="68"/>
      <c r="G16" s="68"/>
      <c r="H16" s="68"/>
      <c r="K16" s="68"/>
    </row>
    <row r="17" spans="1:13" s="5" customFormat="1" ht="16.5" customHeight="1">
      <c r="A17" s="79" t="s">
        <v>410</v>
      </c>
      <c r="B17" s="101">
        <f>D17/C17</f>
        <v>162.11764705882354</v>
      </c>
      <c r="C17" s="102">
        <f>I37+I38+I39+I41+I42+I45+I46</f>
        <v>5100000</v>
      </c>
      <c r="D17" s="103">
        <f>L37+L38+L39+L41+L42+L45+L46</f>
        <v>826800000</v>
      </c>
      <c r="F17" s="68"/>
      <c r="G17" s="68"/>
      <c r="H17" s="68"/>
      <c r="K17" s="68"/>
    </row>
    <row r="18" spans="1:13" s="5" customFormat="1" ht="16.5" customHeight="1">
      <c r="A18" s="79" t="s">
        <v>411</v>
      </c>
      <c r="B18" s="101">
        <f>D18/C18</f>
        <v>146.11881188118812</v>
      </c>
      <c r="C18" s="102">
        <f>I37+I38+I39+I41+I42+I45+I46+I49+I50+I51+I53+I54+I56</f>
        <v>10100000</v>
      </c>
      <c r="D18" s="103">
        <f>L37+L38+L39+L41+L42+L45+L46+L49+L50+L51+L53+L54+L56</f>
        <v>1475800000</v>
      </c>
      <c r="F18" s="68"/>
      <c r="G18" s="68"/>
      <c r="H18" s="68"/>
      <c r="K18" s="68"/>
    </row>
    <row r="19" spans="1:13" ht="16.5" customHeight="1">
      <c r="A19" s="104"/>
    </row>
    <row r="20" spans="1:13" ht="16.5" customHeight="1">
      <c r="A20" s="104"/>
    </row>
    <row r="21" spans="1:13" ht="16.5" customHeight="1">
      <c r="A21" s="104"/>
    </row>
    <row r="22" spans="1:13" ht="16.5" customHeight="1">
      <c r="A22" s="104"/>
    </row>
    <row r="23" spans="1:13" s="42" customFormat="1" ht="16.5" customHeight="1">
      <c r="A23" s="105" t="s">
        <v>412</v>
      </c>
      <c r="B23" s="106" t="s">
        <v>413</v>
      </c>
      <c r="C23" s="106" t="s">
        <v>414</v>
      </c>
      <c r="D23" s="106" t="s">
        <v>415</v>
      </c>
      <c r="E23" s="106" t="s">
        <v>416</v>
      </c>
      <c r="F23" s="107" t="s">
        <v>417</v>
      </c>
      <c r="G23" s="107" t="s">
        <v>418</v>
      </c>
      <c r="H23" s="107" t="s">
        <v>419</v>
      </c>
      <c r="I23" s="107" t="s">
        <v>420</v>
      </c>
      <c r="J23" s="107" t="s">
        <v>421</v>
      </c>
      <c r="K23" s="107" t="s">
        <v>422</v>
      </c>
      <c r="L23" s="106" t="s">
        <v>406</v>
      </c>
      <c r="M23" s="41"/>
    </row>
    <row r="24" spans="1:13" s="42" customFormat="1" ht="16.5" customHeight="1">
      <c r="A24" s="108">
        <v>1</v>
      </c>
      <c r="B24" s="109">
        <v>44562</v>
      </c>
      <c r="C24" s="109" t="s">
        <v>423</v>
      </c>
      <c r="D24" s="110">
        <v>1000000</v>
      </c>
      <c r="E24" s="111"/>
      <c r="F24" s="112"/>
      <c r="G24" s="73"/>
      <c r="H24" s="112" t="s">
        <v>424</v>
      </c>
      <c r="I24" s="113"/>
      <c r="J24" s="113"/>
      <c r="K24" s="112"/>
      <c r="L24" s="114"/>
    </row>
    <row r="25" spans="1:13" s="42" customFormat="1" ht="16.5" customHeight="1">
      <c r="A25" s="108"/>
      <c r="B25" s="109"/>
      <c r="C25" s="109" t="s">
        <v>424</v>
      </c>
      <c r="D25" s="111"/>
      <c r="E25" s="111"/>
      <c r="F25" s="108">
        <v>1</v>
      </c>
      <c r="G25" s="109">
        <v>44590</v>
      </c>
      <c r="H25" s="109" t="s">
        <v>425</v>
      </c>
      <c r="I25" s="115">
        <v>500000</v>
      </c>
      <c r="J25" s="115">
        <f>D24-I25</f>
        <v>500000</v>
      </c>
      <c r="K25" s="116" t="s">
        <v>426</v>
      </c>
      <c r="L25" s="111"/>
    </row>
    <row r="26" spans="1:13" s="42" customFormat="1" ht="16.5" customHeight="1">
      <c r="A26" s="108">
        <v>2</v>
      </c>
      <c r="B26" s="109">
        <v>44620</v>
      </c>
      <c r="C26" s="109" t="s">
        <v>423</v>
      </c>
      <c r="D26" s="111"/>
      <c r="E26" s="111">
        <v>2000000</v>
      </c>
      <c r="F26" s="108"/>
      <c r="G26" s="108"/>
      <c r="H26" s="108" t="s">
        <v>424</v>
      </c>
      <c r="I26" s="111"/>
      <c r="J26" s="111"/>
      <c r="K26" s="108"/>
      <c r="L26" s="111"/>
    </row>
    <row r="27" spans="1:13" s="42" customFormat="1" ht="16.5" customHeight="1">
      <c r="A27" s="108"/>
      <c r="B27" s="108"/>
      <c r="C27" s="108" t="s">
        <v>424</v>
      </c>
      <c r="D27" s="111"/>
      <c r="E27" s="111"/>
      <c r="F27" s="112">
        <v>1</v>
      </c>
      <c r="G27" s="109">
        <v>44651</v>
      </c>
      <c r="H27" s="109" t="s">
        <v>425</v>
      </c>
      <c r="I27" s="113">
        <v>500000</v>
      </c>
      <c r="J27" s="117">
        <f>J25-I27</f>
        <v>0</v>
      </c>
      <c r="K27" s="118" t="s">
        <v>426</v>
      </c>
      <c r="L27" s="114"/>
    </row>
    <row r="28" spans="1:13" s="42" customFormat="1" ht="16.5" customHeight="1">
      <c r="A28" s="108">
        <v>3</v>
      </c>
      <c r="B28" s="109">
        <v>44650</v>
      </c>
      <c r="C28" s="109" t="s">
        <v>423</v>
      </c>
      <c r="D28" s="111"/>
      <c r="E28" s="111">
        <v>2500000</v>
      </c>
      <c r="F28" s="108"/>
      <c r="G28" s="108"/>
      <c r="H28" s="108" t="s">
        <v>424</v>
      </c>
      <c r="I28" s="111"/>
      <c r="J28" s="111"/>
      <c r="K28" s="108"/>
      <c r="L28" s="111"/>
    </row>
    <row r="29" spans="1:13" s="42" customFormat="1" ht="16.5" customHeight="1">
      <c r="A29" s="119"/>
      <c r="B29" s="120"/>
      <c r="C29" s="120"/>
      <c r="D29" s="121"/>
      <c r="E29" s="121"/>
      <c r="F29" s="119"/>
      <c r="G29" s="119"/>
      <c r="H29" s="119"/>
      <c r="I29" s="121"/>
      <c r="J29" s="121"/>
      <c r="K29" s="119"/>
      <c r="L29" s="121"/>
    </row>
    <row r="30" spans="1:13" s="42" customFormat="1" ht="16.5" customHeight="1">
      <c r="A30" s="122"/>
      <c r="B30" s="123"/>
      <c r="C30" s="123"/>
      <c r="D30" s="124"/>
      <c r="E30" s="124"/>
      <c r="F30" s="122"/>
      <c r="G30" s="122"/>
      <c r="H30" s="122"/>
      <c r="I30" s="124"/>
      <c r="J30" s="124"/>
      <c r="K30" s="122"/>
      <c r="L30" s="124"/>
    </row>
    <row r="31" spans="1:13" s="42" customFormat="1" ht="16.5" customHeight="1">
      <c r="A31" s="122"/>
      <c r="B31" s="123"/>
      <c r="C31" s="123"/>
      <c r="D31" s="124"/>
      <c r="E31" s="124"/>
      <c r="F31" s="122"/>
      <c r="G31" s="122"/>
      <c r="H31" s="122"/>
      <c r="I31" s="124"/>
      <c r="J31" s="124"/>
      <c r="K31" s="122"/>
      <c r="L31" s="124"/>
    </row>
    <row r="32" spans="1:13" s="42" customFormat="1" ht="16.5" customHeight="1">
      <c r="A32" s="122"/>
      <c r="B32" s="123"/>
      <c r="C32" s="123"/>
      <c r="D32" s="124"/>
      <c r="E32" s="124"/>
      <c r="F32" s="122"/>
      <c r="G32" s="122"/>
      <c r="H32" s="122"/>
      <c r="I32" s="124"/>
      <c r="J32" s="124"/>
      <c r="K32" s="122"/>
      <c r="L32" s="124"/>
    </row>
    <row r="33" spans="1:14" s="42" customFormat="1" ht="16.5" customHeight="1">
      <c r="A33" s="122"/>
      <c r="B33" s="123"/>
      <c r="C33" s="123"/>
      <c r="D33" s="124"/>
      <c r="E33" s="124"/>
      <c r="F33" s="122"/>
      <c r="G33" s="122"/>
      <c r="H33" s="122"/>
      <c r="I33" s="124"/>
      <c r="J33" s="124"/>
      <c r="K33" s="122"/>
      <c r="L33" s="124"/>
    </row>
    <row r="34" spans="1:14" s="42" customFormat="1" ht="16.5" customHeight="1">
      <c r="A34" s="122"/>
      <c r="B34" s="123"/>
      <c r="C34" s="123"/>
      <c r="D34" s="124"/>
      <c r="E34" s="124"/>
      <c r="F34" s="122"/>
      <c r="G34" s="122"/>
      <c r="H34" s="122"/>
      <c r="I34" s="124"/>
      <c r="J34" s="124"/>
      <c r="K34" s="122"/>
      <c r="L34" s="124"/>
    </row>
    <row r="35" spans="1:14" s="42" customFormat="1" ht="16.5" customHeight="1">
      <c r="A35" s="105" t="s">
        <v>412</v>
      </c>
      <c r="B35" s="106" t="s">
        <v>413</v>
      </c>
      <c r="C35" s="106" t="s">
        <v>414</v>
      </c>
      <c r="D35" s="106" t="s">
        <v>415</v>
      </c>
      <c r="E35" s="106" t="s">
        <v>416</v>
      </c>
      <c r="F35" s="107" t="s">
        <v>417</v>
      </c>
      <c r="G35" s="107" t="s">
        <v>418</v>
      </c>
      <c r="H35" s="107" t="s">
        <v>419</v>
      </c>
      <c r="I35" s="106" t="s">
        <v>420</v>
      </c>
      <c r="J35" s="107" t="s">
        <v>421</v>
      </c>
      <c r="K35" s="107" t="s">
        <v>422</v>
      </c>
      <c r="L35" s="106" t="s">
        <v>406</v>
      </c>
    </row>
    <row r="36" spans="1:14" s="42" customFormat="1" ht="16.5" customHeight="1">
      <c r="A36" s="125" t="s">
        <v>427</v>
      </c>
      <c r="B36" s="125">
        <v>44652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10"/>
      <c r="N36" s="127"/>
    </row>
    <row r="37" spans="1:14" s="42" customFormat="1" ht="16.5" customHeight="1">
      <c r="A37" s="108"/>
      <c r="B37" s="109"/>
      <c r="C37" s="109" t="s">
        <v>424</v>
      </c>
      <c r="D37" s="111"/>
      <c r="E37" s="111"/>
      <c r="F37" s="108">
        <v>2</v>
      </c>
      <c r="G37" s="109">
        <v>44773</v>
      </c>
      <c r="H37" s="109" t="s">
        <v>423</v>
      </c>
      <c r="I37" s="111">
        <v>2000000</v>
      </c>
      <c r="J37" s="128">
        <f>E26-I37</f>
        <v>0</v>
      </c>
      <c r="K37" s="108">
        <f>G37-B26</f>
        <v>153</v>
      </c>
      <c r="L37" s="111">
        <f>K37*I37</f>
        <v>306000000</v>
      </c>
      <c r="N37" s="127"/>
    </row>
    <row r="38" spans="1:14" s="42" customFormat="1" ht="16.5" customHeight="1">
      <c r="A38" s="108"/>
      <c r="B38" s="109"/>
      <c r="C38" s="109"/>
      <c r="D38" s="111"/>
      <c r="E38" s="111"/>
      <c r="F38" s="108">
        <v>3</v>
      </c>
      <c r="G38" s="109">
        <v>44773</v>
      </c>
      <c r="H38" s="109" t="s">
        <v>423</v>
      </c>
      <c r="I38" s="111">
        <v>500000</v>
      </c>
      <c r="J38" s="128">
        <f>E28-I38</f>
        <v>2000000</v>
      </c>
      <c r="K38" s="108">
        <f>G38-B28</f>
        <v>123</v>
      </c>
      <c r="L38" s="111">
        <f>K38*I38</f>
        <v>61500000</v>
      </c>
    </row>
    <row r="39" spans="1:14" s="42" customFormat="1" ht="16.5" customHeight="1">
      <c r="A39" s="108"/>
      <c r="B39" s="109"/>
      <c r="C39" s="109"/>
      <c r="D39" s="111"/>
      <c r="E39" s="111"/>
      <c r="F39" s="108">
        <v>3</v>
      </c>
      <c r="G39" s="109">
        <v>44804</v>
      </c>
      <c r="H39" s="109" t="s">
        <v>423</v>
      </c>
      <c r="I39" s="111">
        <v>1000000</v>
      </c>
      <c r="J39" s="111">
        <f>J38-I39</f>
        <v>1000000</v>
      </c>
      <c r="K39" s="108">
        <f>G39-B28</f>
        <v>154</v>
      </c>
      <c r="L39" s="111">
        <f t="shared" ref="L39:L56" si="0">K39*I39</f>
        <v>154000000</v>
      </c>
    </row>
    <row r="40" spans="1:14" ht="16.5" customHeight="1">
      <c r="A40" s="108">
        <v>4</v>
      </c>
      <c r="B40" s="109">
        <v>44865</v>
      </c>
      <c r="C40" s="109" t="s">
        <v>423</v>
      </c>
      <c r="D40" s="113"/>
      <c r="E40" s="113">
        <v>500000</v>
      </c>
      <c r="F40" s="112"/>
      <c r="G40" s="112"/>
      <c r="H40" s="112"/>
      <c r="I40" s="113"/>
      <c r="J40" s="111"/>
      <c r="K40" s="112"/>
      <c r="L40" s="111" t="s">
        <v>424</v>
      </c>
    </row>
    <row r="41" spans="1:14" ht="16.5" customHeight="1">
      <c r="A41" s="112"/>
      <c r="B41" s="112"/>
      <c r="C41" s="112" t="s">
        <v>424</v>
      </c>
      <c r="D41" s="113"/>
      <c r="E41" s="113"/>
      <c r="F41" s="112">
        <v>3</v>
      </c>
      <c r="G41" s="129">
        <v>44880</v>
      </c>
      <c r="H41" s="109" t="s">
        <v>423</v>
      </c>
      <c r="I41" s="113">
        <v>1000000</v>
      </c>
      <c r="J41" s="111">
        <f>J39-I41+E40</f>
        <v>500000</v>
      </c>
      <c r="K41" s="112">
        <f>G41-B28</f>
        <v>230</v>
      </c>
      <c r="L41" s="111">
        <f t="shared" si="0"/>
        <v>230000000</v>
      </c>
    </row>
    <row r="42" spans="1:14" ht="16.5" customHeight="1">
      <c r="A42" s="112"/>
      <c r="B42" s="112"/>
      <c r="C42" s="112" t="s">
        <v>424</v>
      </c>
      <c r="D42" s="113"/>
      <c r="E42" s="113"/>
      <c r="F42" s="112">
        <v>4</v>
      </c>
      <c r="G42" s="129">
        <v>44880</v>
      </c>
      <c r="H42" s="109" t="s">
        <v>423</v>
      </c>
      <c r="I42" s="113">
        <v>100000</v>
      </c>
      <c r="J42" s="111">
        <f>J41-I42</f>
        <v>400000</v>
      </c>
      <c r="K42" s="112">
        <f>G42-B40</f>
        <v>15</v>
      </c>
      <c r="L42" s="111">
        <f t="shared" si="0"/>
        <v>1500000</v>
      </c>
    </row>
    <row r="43" spans="1:14" ht="16.5" customHeight="1">
      <c r="A43" s="112"/>
      <c r="B43" s="112"/>
      <c r="C43" s="112" t="s">
        <v>424</v>
      </c>
      <c r="D43" s="113"/>
      <c r="E43" s="113"/>
      <c r="F43" s="112"/>
      <c r="G43" s="129"/>
      <c r="H43" s="129"/>
      <c r="I43" s="113"/>
      <c r="J43" s="111"/>
      <c r="K43" s="112"/>
      <c r="L43" s="111"/>
    </row>
    <row r="44" spans="1:14" ht="16.5" customHeight="1">
      <c r="A44" s="108">
        <v>5</v>
      </c>
      <c r="B44" s="109">
        <v>44957</v>
      </c>
      <c r="C44" s="109" t="s">
        <v>423</v>
      </c>
      <c r="D44" s="113"/>
      <c r="E44" s="113">
        <v>1000000</v>
      </c>
      <c r="F44" s="112"/>
      <c r="G44" s="112"/>
      <c r="H44" s="112"/>
      <c r="I44" s="113"/>
      <c r="J44" s="111"/>
      <c r="K44" s="112"/>
      <c r="L44" s="111" t="s">
        <v>424</v>
      </c>
    </row>
    <row r="45" spans="1:14" ht="16.5" customHeight="1">
      <c r="A45" s="112"/>
      <c r="B45" s="112"/>
      <c r="C45" s="112" t="s">
        <v>424</v>
      </c>
      <c r="D45" s="113"/>
      <c r="E45" s="113"/>
      <c r="F45" s="112">
        <v>4</v>
      </c>
      <c r="G45" s="129">
        <v>45031</v>
      </c>
      <c r="H45" s="109" t="s">
        <v>423</v>
      </c>
      <c r="I45" s="113">
        <v>400000</v>
      </c>
      <c r="J45" s="111">
        <f>J42-I45</f>
        <v>0</v>
      </c>
      <c r="K45" s="130">
        <f>G45-B40</f>
        <v>166</v>
      </c>
      <c r="L45" s="111">
        <f t="shared" si="0"/>
        <v>66400000</v>
      </c>
    </row>
    <row r="46" spans="1:14" ht="16.5" customHeight="1">
      <c r="A46" s="112"/>
      <c r="B46" s="112"/>
      <c r="C46" s="112"/>
      <c r="D46" s="113"/>
      <c r="E46" s="113"/>
      <c r="F46" s="112">
        <v>5</v>
      </c>
      <c r="G46" s="129">
        <v>45031</v>
      </c>
      <c r="H46" s="109" t="s">
        <v>423</v>
      </c>
      <c r="I46" s="113">
        <v>100000</v>
      </c>
      <c r="J46" s="111">
        <f>E44-I46</f>
        <v>900000</v>
      </c>
      <c r="K46" s="112">
        <f>G46-B44</f>
        <v>74</v>
      </c>
      <c r="L46" s="111">
        <f t="shared" si="0"/>
        <v>7400000</v>
      </c>
    </row>
    <row r="47" spans="1:14" ht="16.5" customHeight="1">
      <c r="A47" s="108">
        <v>6</v>
      </c>
      <c r="B47" s="109">
        <v>45015</v>
      </c>
      <c r="C47" s="109" t="s">
        <v>423</v>
      </c>
      <c r="D47" s="113"/>
      <c r="E47" s="113">
        <v>1500000</v>
      </c>
      <c r="F47" s="112"/>
      <c r="G47" s="112"/>
      <c r="H47" s="112"/>
      <c r="I47" s="113"/>
      <c r="J47" s="111"/>
      <c r="K47" s="112"/>
      <c r="L47" s="111" t="s">
        <v>424</v>
      </c>
    </row>
    <row r="48" spans="1:14" s="5" customFormat="1" ht="16.5" customHeight="1">
      <c r="A48" s="131" t="s">
        <v>409</v>
      </c>
      <c r="B48" s="131">
        <v>45017</v>
      </c>
      <c r="C48" s="132"/>
      <c r="D48" s="132"/>
      <c r="E48" s="132"/>
      <c r="F48" s="132"/>
      <c r="G48" s="132"/>
      <c r="H48" s="132"/>
      <c r="I48" s="132"/>
      <c r="J48" s="132"/>
      <c r="K48" s="132"/>
      <c r="L48" s="133" t="s">
        <v>424</v>
      </c>
    </row>
    <row r="49" spans="1:12" ht="16.5" customHeight="1">
      <c r="A49" s="112"/>
      <c r="B49" s="112"/>
      <c r="C49" s="112" t="s">
        <v>424</v>
      </c>
      <c r="D49" s="134"/>
      <c r="E49" s="134"/>
      <c r="F49" s="112">
        <v>5</v>
      </c>
      <c r="G49" s="129">
        <v>45169</v>
      </c>
      <c r="H49" s="109" t="s">
        <v>423</v>
      </c>
      <c r="I49" s="134">
        <v>500000</v>
      </c>
      <c r="J49" s="111">
        <f>J46-I49</f>
        <v>400000</v>
      </c>
      <c r="K49" s="112">
        <f>G49-B44</f>
        <v>212</v>
      </c>
      <c r="L49" s="111">
        <f t="shared" si="0"/>
        <v>106000000</v>
      </c>
    </row>
    <row r="50" spans="1:12" ht="16.5" customHeight="1">
      <c r="A50" s="112"/>
      <c r="B50" s="129"/>
      <c r="C50" s="129" t="s">
        <v>424</v>
      </c>
      <c r="D50" s="134"/>
      <c r="E50" s="134"/>
      <c r="F50" s="112">
        <v>5</v>
      </c>
      <c r="G50" s="129">
        <v>45230</v>
      </c>
      <c r="H50" s="109" t="s">
        <v>423</v>
      </c>
      <c r="I50" s="134">
        <v>400000</v>
      </c>
      <c r="J50" s="111">
        <f>J49-I50</f>
        <v>0</v>
      </c>
      <c r="K50" s="112">
        <f>G50-B44</f>
        <v>273</v>
      </c>
      <c r="L50" s="111">
        <f t="shared" si="0"/>
        <v>109200000</v>
      </c>
    </row>
    <row r="51" spans="1:12" ht="16.5" customHeight="1">
      <c r="A51" s="112"/>
      <c r="B51" s="129"/>
      <c r="C51" s="129"/>
      <c r="D51" s="134"/>
      <c r="E51" s="134"/>
      <c r="F51" s="112">
        <v>6</v>
      </c>
      <c r="G51" s="129">
        <v>45230</v>
      </c>
      <c r="H51" s="109" t="s">
        <v>423</v>
      </c>
      <c r="I51" s="134">
        <v>1100000</v>
      </c>
      <c r="J51" s="111">
        <f>E47-I51</f>
        <v>400000</v>
      </c>
      <c r="K51" s="112">
        <f>G51-B47</f>
        <v>215</v>
      </c>
      <c r="L51" s="111">
        <f t="shared" si="0"/>
        <v>236500000</v>
      </c>
    </row>
    <row r="52" spans="1:12" ht="16.5" customHeight="1">
      <c r="A52" s="112">
        <v>7</v>
      </c>
      <c r="B52" s="129">
        <v>45322</v>
      </c>
      <c r="C52" s="129" t="s">
        <v>423</v>
      </c>
      <c r="D52" s="134"/>
      <c r="E52" s="134">
        <v>3000000</v>
      </c>
      <c r="F52" s="112"/>
      <c r="G52" s="112"/>
      <c r="H52" s="112"/>
      <c r="I52" s="134"/>
      <c r="J52" s="111"/>
      <c r="K52" s="112"/>
      <c r="L52" s="111" t="s">
        <v>424</v>
      </c>
    </row>
    <row r="53" spans="1:12" ht="16.5" customHeight="1">
      <c r="A53" s="112"/>
      <c r="B53" s="112"/>
      <c r="C53" s="112" t="s">
        <v>424</v>
      </c>
      <c r="D53" s="134"/>
      <c r="E53" s="134"/>
      <c r="F53" s="112">
        <v>6</v>
      </c>
      <c r="G53" s="129">
        <v>45342</v>
      </c>
      <c r="H53" s="109" t="s">
        <v>423</v>
      </c>
      <c r="I53" s="134">
        <v>400000</v>
      </c>
      <c r="J53" s="111">
        <f>J51-I53</f>
        <v>0</v>
      </c>
      <c r="K53" s="112">
        <f>G53-B47</f>
        <v>327</v>
      </c>
      <c r="L53" s="111">
        <f t="shared" si="0"/>
        <v>130800000</v>
      </c>
    </row>
    <row r="54" spans="1:12" ht="16.5" customHeight="1">
      <c r="A54" s="112"/>
      <c r="B54" s="112"/>
      <c r="C54" s="112"/>
      <c r="D54" s="134"/>
      <c r="E54" s="134"/>
      <c r="F54" s="112">
        <v>7</v>
      </c>
      <c r="G54" s="129">
        <v>45342</v>
      </c>
      <c r="H54" s="109" t="s">
        <v>423</v>
      </c>
      <c r="I54" s="134">
        <v>2100000</v>
      </c>
      <c r="J54" s="111">
        <f>E52-I54</f>
        <v>900000</v>
      </c>
      <c r="K54" s="112">
        <f>G54-B52</f>
        <v>20</v>
      </c>
      <c r="L54" s="111">
        <f t="shared" si="0"/>
        <v>42000000</v>
      </c>
    </row>
    <row r="55" spans="1:12" ht="16.5" customHeight="1">
      <c r="A55" s="112">
        <v>8</v>
      </c>
      <c r="B55" s="129">
        <v>45350</v>
      </c>
      <c r="C55" s="129" t="s">
        <v>423</v>
      </c>
      <c r="D55" s="134"/>
      <c r="E55" s="134">
        <v>1700000</v>
      </c>
      <c r="F55" s="112"/>
      <c r="G55" s="112"/>
      <c r="H55" s="112"/>
      <c r="I55" s="134"/>
      <c r="J55" s="134"/>
      <c r="K55" s="112"/>
      <c r="L55" s="111" t="s">
        <v>424</v>
      </c>
    </row>
    <row r="56" spans="1:12" ht="16.5" customHeight="1">
      <c r="A56" s="112"/>
      <c r="B56" s="112"/>
      <c r="C56" s="112"/>
      <c r="D56" s="134"/>
      <c r="E56" s="134"/>
      <c r="F56" s="112">
        <v>7</v>
      </c>
      <c r="G56" s="129">
        <v>45371</v>
      </c>
      <c r="H56" s="109" t="s">
        <v>423</v>
      </c>
      <c r="I56" s="134">
        <v>500000</v>
      </c>
      <c r="J56" s="111">
        <f>J54-I56</f>
        <v>400000</v>
      </c>
      <c r="K56" s="112">
        <f>G56-B52</f>
        <v>49</v>
      </c>
      <c r="L56" s="111">
        <f t="shared" si="0"/>
        <v>24500000</v>
      </c>
    </row>
    <row r="57" spans="1:12" s="5" customFormat="1" ht="16.5" customHeight="1">
      <c r="A57" s="131" t="s">
        <v>428</v>
      </c>
      <c r="B57" s="131">
        <v>45382</v>
      </c>
      <c r="C57" s="132"/>
      <c r="D57" s="132"/>
      <c r="E57" s="132"/>
      <c r="F57" s="132"/>
      <c r="G57" s="132"/>
      <c r="H57" s="132"/>
      <c r="I57" s="132"/>
      <c r="J57" s="132"/>
      <c r="K57" s="132"/>
      <c r="L57" s="133" t="s">
        <v>424</v>
      </c>
    </row>
  </sheetData>
  <mergeCells count="2">
    <mergeCell ref="A14:A15"/>
    <mergeCell ref="B14:B15"/>
  </mergeCells>
  <phoneticPr fontId="2" type="noConversion"/>
  <hyperlinks>
    <hyperlink ref="K1" location="'0.제공테이블'!A1" display="목차" xr:uid="{6E796F00-165F-441E-B9F5-653DFEC9AD25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showGridLines="0" workbookViewId="0">
      <selection activeCell="E1" sqref="E1"/>
    </sheetView>
  </sheetViews>
  <sheetFormatPr defaultRowHeight="17.45"/>
  <cols>
    <col min="1" max="1" width="12" style="52" customWidth="1"/>
    <col min="2" max="2" width="28.125" style="52" customWidth="1"/>
    <col min="3" max="3" width="21.875" style="52" customWidth="1"/>
  </cols>
  <sheetData>
    <row r="1" spans="1:5">
      <c r="A1" s="54" t="s">
        <v>429</v>
      </c>
      <c r="B1" s="54" t="s">
        <v>430</v>
      </c>
      <c r="C1" s="54" t="s">
        <v>82</v>
      </c>
      <c r="E1" s="138" t="s">
        <v>75</v>
      </c>
    </row>
    <row r="2" spans="1:5">
      <c r="A2" s="53" t="s">
        <v>431</v>
      </c>
      <c r="B2" s="53" t="s">
        <v>432</v>
      </c>
      <c r="C2" s="53" t="s">
        <v>433</v>
      </c>
    </row>
    <row r="3" spans="1:5">
      <c r="A3" s="53" t="s">
        <v>434</v>
      </c>
      <c r="B3" s="53" t="s">
        <v>435</v>
      </c>
      <c r="C3" s="53"/>
    </row>
    <row r="4" spans="1:5">
      <c r="A4" s="53">
        <v>89</v>
      </c>
      <c r="B4" s="53" t="s">
        <v>436</v>
      </c>
      <c r="C4" s="53"/>
    </row>
    <row r="5" spans="1:5">
      <c r="A5" s="53">
        <v>80</v>
      </c>
      <c r="B5" s="53" t="s">
        <v>437</v>
      </c>
      <c r="C5" s="53"/>
    </row>
    <row r="6" spans="1:5">
      <c r="A6" s="55" t="s">
        <v>438</v>
      </c>
      <c r="B6" s="55" t="s">
        <v>439</v>
      </c>
      <c r="C6" s="55"/>
    </row>
    <row r="7" spans="1:5">
      <c r="A7" s="53">
        <v>82</v>
      </c>
      <c r="B7" s="53" t="s">
        <v>440</v>
      </c>
      <c r="C7" s="53" t="s">
        <v>441</v>
      </c>
    </row>
    <row r="8" spans="1:5">
      <c r="A8" s="53">
        <v>83</v>
      </c>
      <c r="B8" s="53" t="s">
        <v>442</v>
      </c>
      <c r="C8" s="53"/>
    </row>
    <row r="9" spans="1:5">
      <c r="A9" s="53">
        <v>84</v>
      </c>
      <c r="B9" s="53" t="s">
        <v>443</v>
      </c>
      <c r="C9" s="53"/>
    </row>
    <row r="10" spans="1:5">
      <c r="A10" s="55">
        <v>85</v>
      </c>
      <c r="B10" s="55" t="s">
        <v>444</v>
      </c>
      <c r="C10" s="55"/>
    </row>
  </sheetData>
  <phoneticPr fontId="2" type="noConversion"/>
  <hyperlinks>
    <hyperlink ref="E1" location="'0.제공테이블'!A1" display="목차" xr:uid="{6C7B82DC-A062-4380-A19F-328F1CC2B818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E622-053D-4814-82F8-1EC4F21F2F04}">
  <dimension ref="B1:G14"/>
  <sheetViews>
    <sheetView showGridLines="0" workbookViewId="0">
      <selection activeCell="G1" sqref="G1"/>
    </sheetView>
  </sheetViews>
  <sheetFormatPr defaultRowHeight="17.45"/>
  <cols>
    <col min="1" max="1" width="3.875" customWidth="1"/>
    <col min="2" max="2" width="9" style="36"/>
    <col min="3" max="3" width="9" style="37"/>
    <col min="4" max="4" width="25.625" style="37" customWidth="1"/>
    <col min="5" max="5" width="24.5" style="37" customWidth="1"/>
  </cols>
  <sheetData>
    <row r="1" spans="2:7">
      <c r="G1" s="138" t="s">
        <v>445</v>
      </c>
    </row>
    <row r="2" spans="2:7">
      <c r="B2" s="210" t="s">
        <v>446</v>
      </c>
      <c r="C2" s="211"/>
      <c r="D2" s="87" t="s">
        <v>447</v>
      </c>
      <c r="E2" s="87" t="s">
        <v>448</v>
      </c>
    </row>
    <row r="3" spans="2:7">
      <c r="B3" s="212"/>
      <c r="C3" s="213"/>
      <c r="D3" s="87" t="s">
        <v>449</v>
      </c>
      <c r="E3" s="87" t="s">
        <v>450</v>
      </c>
    </row>
    <row r="4" spans="2:7">
      <c r="B4" s="214"/>
      <c r="C4" s="215"/>
      <c r="D4" s="87" t="s">
        <v>115</v>
      </c>
      <c r="E4" s="88" t="s">
        <v>221</v>
      </c>
    </row>
    <row r="5" spans="2:7">
      <c r="B5" s="216">
        <v>0</v>
      </c>
      <c r="C5" s="89" t="s">
        <v>451</v>
      </c>
      <c r="D5" s="90">
        <v>1000</v>
      </c>
      <c r="E5" s="217" t="s">
        <v>452</v>
      </c>
    </row>
    <row r="6" spans="2:7">
      <c r="B6" s="216"/>
      <c r="C6" s="89" t="s">
        <v>453</v>
      </c>
      <c r="D6" s="90">
        <v>1000000000000</v>
      </c>
      <c r="E6" s="218"/>
    </row>
    <row r="7" spans="2:7">
      <c r="B7" s="216"/>
      <c r="C7" s="91" t="s">
        <v>454</v>
      </c>
      <c r="D7" s="92">
        <v>0</v>
      </c>
      <c r="E7" s="93"/>
    </row>
    <row r="8" spans="2:7">
      <c r="B8" s="216" t="s">
        <v>455</v>
      </c>
      <c r="C8" s="89" t="s">
        <v>451</v>
      </c>
      <c r="D8" s="94" t="s">
        <v>456</v>
      </c>
      <c r="E8" s="217" t="s">
        <v>456</v>
      </c>
    </row>
    <row r="9" spans="2:7">
      <c r="B9" s="216"/>
      <c r="C9" s="89" t="s">
        <v>453</v>
      </c>
      <c r="D9" s="90">
        <v>1000000</v>
      </c>
      <c r="E9" s="218"/>
    </row>
    <row r="10" spans="2:7">
      <c r="B10" s="216"/>
      <c r="C10" s="91" t="s">
        <v>454</v>
      </c>
      <c r="D10" s="92" t="s">
        <v>457</v>
      </c>
      <c r="E10" s="93"/>
    </row>
    <row r="12" spans="2:7">
      <c r="B12" s="96" t="s">
        <v>458</v>
      </c>
      <c r="C12" s="97"/>
    </row>
    <row r="13" spans="2:7">
      <c r="B13" s="36" t="s">
        <v>459</v>
      </c>
      <c r="C13" s="95" t="s">
        <v>406</v>
      </c>
    </row>
    <row r="14" spans="2:7">
      <c r="B14" s="36" t="s">
        <v>407</v>
      </c>
      <c r="C14" s="37" t="s">
        <v>460</v>
      </c>
    </row>
  </sheetData>
  <mergeCells count="5">
    <mergeCell ref="B2:C4"/>
    <mergeCell ref="B5:B7"/>
    <mergeCell ref="E5:E6"/>
    <mergeCell ref="B8:B10"/>
    <mergeCell ref="E8:E9"/>
  </mergeCells>
  <phoneticPr fontId="2" type="noConversion"/>
  <hyperlinks>
    <hyperlink ref="G1" location="'0.제공테이블'!A1" display="목차" xr:uid="{7F6B468E-BBF7-4A0F-9615-86931C0A909D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</dc:creator>
  <cp:keywords/>
  <dc:description/>
  <cp:lastModifiedBy/>
  <cp:revision/>
  <dcterms:created xsi:type="dcterms:W3CDTF">2024-07-30T08:50:28Z</dcterms:created>
  <dcterms:modified xsi:type="dcterms:W3CDTF">2026-03-12T06:46:28Z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